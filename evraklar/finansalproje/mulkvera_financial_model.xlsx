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po\Mulkvera\evraklar\finansalproje\"/>
    </mc:Choice>
  </mc:AlternateContent>
  <bookViews>
    <workbookView xWindow="0" yWindow="0" windowWidth="23040" windowHeight="9084" activeTab="1"/>
  </bookViews>
  <sheets>
    <sheet name="Icindekiler" sheetId="1" r:id="rId1"/>
    <sheet name="Varsayimlar" sheetId="2" r:id="rId2"/>
    <sheet name="Projeksiyonlar" sheetId="3" r:id="rId3"/>
    <sheet name="Degerleme_ve_Yatirim" sheetId="4" r:id="rId4"/>
    <sheet name="Grafikler" sheetId="5" r:id="rId5"/>
    <sheet name="Kontroller" sheetId="6" r:id="rId6"/>
    <sheet name="VarsayimlarHedefli" sheetId="9" r:id="rId7"/>
    <sheet name="ProjeksiyonlarHedefli" sheetId="8" r:id="rId8"/>
  </sheets>
  <calcPr calcId="162913"/>
  <extLst>
    <ext uri="GoogleSheetsCustomDataVersion2">
      <go:sheetsCustomData xmlns:go="http://customooxmlschemas.google.com/" r:id="rId10" roundtripDataChecksum="bQ4NK2xumF6dcgByYcwgBspp8EaUMfRI/1PrVLpSUUY="/>
    </ext>
  </extLst>
</workbook>
</file>

<file path=xl/calcChain.xml><?xml version="1.0" encoding="utf-8"?>
<calcChain xmlns="http://schemas.openxmlformats.org/spreadsheetml/2006/main">
  <c r="B50" i="8" l="1"/>
  <c r="B51" i="8"/>
  <c r="B59" i="8"/>
  <c r="B60" i="8"/>
  <c r="G5" i="8" l="1"/>
  <c r="F5" i="8"/>
  <c r="E5" i="8"/>
  <c r="D5" i="8"/>
  <c r="C5" i="8"/>
  <c r="C6" i="3"/>
  <c r="D6" i="3" a="1"/>
  <c r="D6" i="3" s="1"/>
  <c r="C20" i="9"/>
  <c r="D20" i="9" s="1"/>
  <c r="E20" i="9" s="1"/>
  <c r="F20" i="9" s="1"/>
  <c r="F30" i="9" s="1"/>
  <c r="G38" i="9" s="1"/>
  <c r="C19" i="9"/>
  <c r="D19" i="9" s="1"/>
  <c r="E19" i="9" s="1"/>
  <c r="F19" i="9" s="1"/>
  <c r="C18" i="9"/>
  <c r="D18" i="9" s="1"/>
  <c r="E18" i="9" s="1"/>
  <c r="F18" i="9" s="1"/>
  <c r="C17" i="9"/>
  <c r="D17" i="9" s="1"/>
  <c r="C16" i="9"/>
  <c r="D16" i="9" s="1"/>
  <c r="C15" i="9"/>
  <c r="D15" i="9" s="1"/>
  <c r="C14" i="9"/>
  <c r="D14" i="9" s="1"/>
  <c r="E14" i="9" s="1"/>
  <c r="C21" i="8"/>
  <c r="D21" i="8" s="1"/>
  <c r="E21" i="8" s="1"/>
  <c r="F21" i="8" s="1"/>
  <c r="G21" i="8" s="1"/>
  <c r="C19" i="8"/>
  <c r="D19" i="8" s="1"/>
  <c r="C18" i="8"/>
  <c r="D18" i="8" s="1"/>
  <c r="E18" i="8" s="1"/>
  <c r="F18" i="8" s="1"/>
  <c r="G18" i="8" s="1"/>
  <c r="C17" i="8"/>
  <c r="C6" i="8"/>
  <c r="D6" i="8" s="1"/>
  <c r="E6" i="8" s="1"/>
  <c r="F6" i="8" s="1"/>
  <c r="G6" i="8" s="1"/>
  <c r="I9" i="5"/>
  <c r="I8" i="5"/>
  <c r="I7" i="5"/>
  <c r="I6" i="5"/>
  <c r="B12" i="4"/>
  <c r="B11" i="4"/>
  <c r="B20" i="4" s="1"/>
  <c r="B21" i="4" s="1"/>
  <c r="C22" i="3"/>
  <c r="D22" i="3" s="1"/>
  <c r="E22" i="3" s="1"/>
  <c r="F22" i="3" s="1"/>
  <c r="G22" i="3" s="1"/>
  <c r="C20" i="3"/>
  <c r="C19" i="3"/>
  <c r="D19" i="3" s="1"/>
  <c r="E19" i="3" s="1"/>
  <c r="F19" i="3" s="1"/>
  <c r="G19" i="3" s="1"/>
  <c r="C18" i="3"/>
  <c r="C7" i="3"/>
  <c r="D7" i="3" s="1"/>
  <c r="E7" i="3" s="1"/>
  <c r="F7" i="3" s="1"/>
  <c r="G7" i="3" s="1"/>
  <c r="G6" i="3" a="1"/>
  <c r="G6" i="3" s="1"/>
  <c r="F6" i="3" a="1"/>
  <c r="F6" i="3" s="1"/>
  <c r="E6" i="3" a="1"/>
  <c r="E6" i="3" s="1"/>
  <c r="E11" i="1"/>
  <c r="E10" i="1"/>
  <c r="E9" i="1"/>
  <c r="E8" i="1"/>
  <c r="E7" i="1"/>
  <c r="E6" i="1"/>
  <c r="F31" i="9" l="1"/>
  <c r="G39" i="9" s="1"/>
  <c r="C32" i="9"/>
  <c r="D40" i="9" s="1"/>
  <c r="D32" i="9"/>
  <c r="E40" i="9" s="1"/>
  <c r="E32" i="9"/>
  <c r="F40" i="9" s="1"/>
  <c r="F32" i="9"/>
  <c r="G40" i="9" s="1"/>
  <c r="C30" i="9"/>
  <c r="D38" i="9" s="1"/>
  <c r="D30" i="9"/>
  <c r="E38" i="9" s="1"/>
  <c r="E30" i="9"/>
  <c r="F38" i="9" s="1"/>
  <c r="C31" i="9"/>
  <c r="D39" i="9" s="1"/>
  <c r="D31" i="9"/>
  <c r="E39" i="9" s="1"/>
  <c r="E31" i="9"/>
  <c r="F39" i="9" s="1"/>
  <c r="F15" i="9"/>
  <c r="E15" i="9"/>
  <c r="F16" i="9"/>
  <c r="E16" i="9"/>
  <c r="F17" i="9"/>
  <c r="E17" i="9"/>
  <c r="F14" i="9"/>
  <c r="G8" i="3"/>
  <c r="G10" i="3" s="1"/>
  <c r="G11" i="3" s="1"/>
  <c r="C7" i="8"/>
  <c r="C9" i="8" s="1"/>
  <c r="C10" i="8" s="1"/>
  <c r="E8" i="3"/>
  <c r="E10" i="3" s="1"/>
  <c r="E12" i="3" s="1"/>
  <c r="E7" i="8"/>
  <c r="E9" i="8" s="1"/>
  <c r="E11" i="8" s="1"/>
  <c r="G7" i="8"/>
  <c r="G9" i="8" s="1"/>
  <c r="G16" i="8" s="1"/>
  <c r="C8" i="3"/>
  <c r="C10" i="3" s="1"/>
  <c r="C12" i="3" s="1"/>
  <c r="D8" i="3"/>
  <c r="D10" i="3" s="1"/>
  <c r="D17" i="3" s="1"/>
  <c r="D7" i="8"/>
  <c r="D9" i="8" s="1"/>
  <c r="D11" i="8" s="1"/>
  <c r="F8" i="3"/>
  <c r="F10" i="3" s="1"/>
  <c r="F12" i="3" s="1"/>
  <c r="F7" i="8"/>
  <c r="F9" i="8" s="1"/>
  <c r="F10" i="8" s="1"/>
  <c r="E19" i="8"/>
  <c r="D28" i="8"/>
  <c r="F16" i="8"/>
  <c r="C28" i="8"/>
  <c r="C29" i="3"/>
  <c r="D20" i="3"/>
  <c r="F11" i="3" l="1"/>
  <c r="G12" i="3"/>
  <c r="D11" i="3"/>
  <c r="D13" i="3"/>
  <c r="F11" i="8"/>
  <c r="F12" i="8"/>
  <c r="G17" i="3"/>
  <c r="F13" i="3"/>
  <c r="F17" i="3"/>
  <c r="E16" i="8"/>
  <c r="E12" i="8"/>
  <c r="E10" i="8"/>
  <c r="E13" i="8" s="1"/>
  <c r="E17" i="8" s="1"/>
  <c r="G13" i="3"/>
  <c r="D12" i="3"/>
  <c r="D14" i="3" s="1"/>
  <c r="D18" i="3" s="1"/>
  <c r="D23" i="3" s="1"/>
  <c r="D24" i="3" s="1"/>
  <c r="C13" i="3"/>
  <c r="D12" i="8"/>
  <c r="D16" i="8"/>
  <c r="D10" i="8"/>
  <c r="G11" i="8"/>
  <c r="G12" i="8"/>
  <c r="C11" i="3"/>
  <c r="G10" i="8"/>
  <c r="C11" i="8"/>
  <c r="E17" i="3"/>
  <c r="C16" i="8"/>
  <c r="C22" i="8" s="1"/>
  <c r="C23" i="8" s="1"/>
  <c r="C17" i="3"/>
  <c r="C23" i="3" s="1"/>
  <c r="C24" i="3" s="1"/>
  <c r="C12" i="8"/>
  <c r="E11" i="3"/>
  <c r="E13" i="3"/>
  <c r="E28" i="8"/>
  <c r="F19" i="8"/>
  <c r="D29" i="3"/>
  <c r="E20" i="3"/>
  <c r="G14" i="3" l="1"/>
  <c r="G18" i="3" s="1"/>
  <c r="F14" i="3"/>
  <c r="F18" i="3" s="1"/>
  <c r="D13" i="8"/>
  <c r="E14" i="3"/>
  <c r="E18" i="3" s="1"/>
  <c r="E23" i="3" s="1"/>
  <c r="E24" i="3" s="1"/>
  <c r="E14" i="8"/>
  <c r="F13" i="8"/>
  <c r="F17" i="8" s="1"/>
  <c r="F22" i="8" s="1"/>
  <c r="F23" i="8" s="1"/>
  <c r="E22" i="8"/>
  <c r="E23" i="8" s="1"/>
  <c r="E15" i="3"/>
  <c r="D6" i="5" s="1"/>
  <c r="C13" i="8"/>
  <c r="C14" i="8" s="1"/>
  <c r="C14" i="3"/>
  <c r="D5" i="6" s="1"/>
  <c r="E5" i="6" s="1"/>
  <c r="D17" i="8"/>
  <c r="D22" i="8" s="1"/>
  <c r="D23" i="8" s="1"/>
  <c r="D14" i="8"/>
  <c r="G13" i="8"/>
  <c r="F28" i="8"/>
  <c r="G19" i="8"/>
  <c r="G28" i="8" s="1"/>
  <c r="F15" i="3"/>
  <c r="E6" i="5" s="1"/>
  <c r="G15" i="3"/>
  <c r="F6" i="5" s="1"/>
  <c r="D15" i="3"/>
  <c r="C6" i="5" s="1"/>
  <c r="E29" i="3"/>
  <c r="F20" i="3"/>
  <c r="D26" i="3"/>
  <c r="C25" i="8" l="1"/>
  <c r="C29" i="8" s="1"/>
  <c r="D25" i="8"/>
  <c r="F25" i="8"/>
  <c r="F29" i="8" s="1"/>
  <c r="F30" i="8" s="1"/>
  <c r="F14" i="8"/>
  <c r="E25" i="8"/>
  <c r="E27" i="8" s="1"/>
  <c r="C26" i="3"/>
  <c r="C28" i="3" s="1"/>
  <c r="C15" i="3"/>
  <c r="D6" i="6" s="1"/>
  <c r="E6" i="6" s="1"/>
  <c r="G17" i="8"/>
  <c r="G22" i="8" s="1"/>
  <c r="G14" i="8"/>
  <c r="E26" i="8"/>
  <c r="E29" i="8"/>
  <c r="E30" i="8" s="1"/>
  <c r="D26" i="8"/>
  <c r="D29" i="8"/>
  <c r="D30" i="8" s="1"/>
  <c r="D27" i="8"/>
  <c r="E26" i="3"/>
  <c r="E30" i="3" s="1"/>
  <c r="E31" i="3" s="1"/>
  <c r="D30" i="3"/>
  <c r="D31" i="3" s="1"/>
  <c r="D27" i="3"/>
  <c r="C7" i="5" s="1"/>
  <c r="D28" i="3"/>
  <c r="F29" i="3"/>
  <c r="G20" i="3"/>
  <c r="F23" i="3"/>
  <c r="C30" i="8" l="1"/>
  <c r="C31" i="8" s="1"/>
  <c r="C59" i="8" s="1"/>
  <c r="C60" i="8" s="1"/>
  <c r="C27" i="8"/>
  <c r="C26" i="8"/>
  <c r="B6" i="5"/>
  <c r="D7" i="6"/>
  <c r="E7" i="6" s="1"/>
  <c r="C27" i="3"/>
  <c r="B7" i="5" s="1"/>
  <c r="C30" i="3"/>
  <c r="C31" i="3" s="1"/>
  <c r="C33" i="3" s="1"/>
  <c r="F26" i="8"/>
  <c r="F27" i="8"/>
  <c r="F32" i="8"/>
  <c r="F31" i="8"/>
  <c r="F59" i="8" s="1"/>
  <c r="D32" i="8"/>
  <c r="D31" i="8"/>
  <c r="D59" i="8" s="1"/>
  <c r="E32" i="8"/>
  <c r="E31" i="8"/>
  <c r="E59" i="8" s="1"/>
  <c r="G23" i="8"/>
  <c r="G25" i="8"/>
  <c r="E28" i="3"/>
  <c r="E27" i="3"/>
  <c r="D7" i="5" s="1"/>
  <c r="D33" i="3"/>
  <c r="D32" i="3"/>
  <c r="E33" i="3"/>
  <c r="E32" i="3"/>
  <c r="F24" i="3"/>
  <c r="F26" i="3"/>
  <c r="G29" i="3"/>
  <c r="G23" i="3"/>
  <c r="D60" i="8" l="1"/>
  <c r="C61" i="8"/>
  <c r="D8" i="6"/>
  <c r="E8" i="6" s="1"/>
  <c r="C32" i="8"/>
  <c r="C32" i="3"/>
  <c r="C20" i="4" s="1"/>
  <c r="C21" i="4" s="1"/>
  <c r="C22" i="4" s="1"/>
  <c r="G27" i="8"/>
  <c r="G29" i="8"/>
  <c r="G30" i="8" s="1"/>
  <c r="G26" i="8"/>
  <c r="B45" i="8" s="1"/>
  <c r="B46" i="8" s="1"/>
  <c r="B52" i="8" s="1"/>
  <c r="B53" i="8" s="1"/>
  <c r="B54" i="8" s="1"/>
  <c r="G24" i="3"/>
  <c r="G26" i="3"/>
  <c r="F27" i="3"/>
  <c r="E7" i="5" s="1"/>
  <c r="F30" i="3"/>
  <c r="F31" i="3" s="1"/>
  <c r="F28" i="3"/>
  <c r="E20" i="4"/>
  <c r="D8" i="5"/>
  <c r="D20" i="4"/>
  <c r="C8" i="5"/>
  <c r="E60" i="8" l="1"/>
  <c r="E61" i="8"/>
  <c r="D61" i="8"/>
  <c r="D21" i="4"/>
  <c r="E21" i="4" s="1"/>
  <c r="B8" i="5"/>
  <c r="G32" i="8"/>
  <c r="G31" i="8"/>
  <c r="G59" i="8" s="1"/>
  <c r="F32" i="3"/>
  <c r="F33" i="3"/>
  <c r="G27" i="3"/>
  <c r="B6" i="4" s="1"/>
  <c r="G30" i="3"/>
  <c r="G31" i="3" s="1"/>
  <c r="G28" i="3"/>
  <c r="F60" i="8" l="1"/>
  <c r="F61" i="8"/>
  <c r="D22" i="4"/>
  <c r="G33" i="3"/>
  <c r="G32" i="3"/>
  <c r="F7" i="5"/>
  <c r="B7" i="4"/>
  <c r="B13" i="4" s="1"/>
  <c r="B14" i="4" s="1"/>
  <c r="B15" i="4" s="1"/>
  <c r="F20" i="4"/>
  <c r="F21" i="4" s="1"/>
  <c r="F22" i="4" s="1"/>
  <c r="E8" i="5"/>
  <c r="E22" i="4"/>
  <c r="G60" i="8" l="1"/>
  <c r="G61" i="8"/>
  <c r="F8" i="5"/>
  <c r="G20" i="4"/>
  <c r="G21" i="4" s="1"/>
  <c r="G22" i="4" s="1"/>
</calcChain>
</file>

<file path=xl/sharedStrings.xml><?xml version="1.0" encoding="utf-8"?>
<sst xmlns="http://schemas.openxmlformats.org/spreadsheetml/2006/main" count="317" uniqueCount="190">
  <si>
    <t>Emlak Mimarı - Finansal Varsayımlar</t>
  </si>
  <si>
    <t>Emlak Mimarı - Finansal Projeksiyon Modeli</t>
  </si>
  <si>
    <t>Sürüm: v1.0 | Güncelleme Tarihi: 2026-08-11</t>
  </si>
  <si>
    <t>AKTİF SENARYO SEÇİCİ</t>
  </si>
  <si>
    <t>Bölüm</t>
  </si>
  <si>
    <t>Finansal Göstergeler (TL &amp; USD)</t>
  </si>
  <si>
    <t>Sayfa Adı</t>
  </si>
  <si>
    <t>Metodoloji / Referans</t>
  </si>
  <si>
    <t>Açıklama</t>
  </si>
  <si>
    <t>&lt;- DEĞİŞTİRİN (1 = Taban Senaryo, 2 = İyimser Senaryo, 3 = Kötümser Senaryo)</t>
  </si>
  <si>
    <t>2026 (Yıl 1)</t>
  </si>
  <si>
    <t>İçerdiği Temel Metrikler</t>
  </si>
  <si>
    <t>GENEL PAZAR VARYASYONLARI VE PARAMETRELERİ</t>
  </si>
  <si>
    <t>2027 (Yıl 2)</t>
  </si>
  <si>
    <t>Navigasyon</t>
  </si>
  <si>
    <t>2028 (Yıl 3)</t>
  </si>
  <si>
    <t>1</t>
  </si>
  <si>
    <t>2029 (Yıl 4)</t>
  </si>
  <si>
    <t>Icindekiler</t>
  </si>
  <si>
    <t>2030 (Yıl 5)</t>
  </si>
  <si>
    <t>Model haritası ve biçimlendirme açıklamaları</t>
  </si>
  <si>
    <t>Dolar Kuru (USD/TRY)</t>
  </si>
  <si>
    <t>OPERASYONEL METRİKLER</t>
  </si>
  <si>
    <t>Tüm sayfaların listesi ve renk lejantı</t>
  </si>
  <si>
    <t>Emlak Mimarı - Şirket Değerlemesi ve Yatırımcı Geri Dönüşü</t>
  </si>
  <si>
    <t>Yıllık Ortalama Konut Fiyatı (TL)</t>
  </si>
  <si>
    <t>5. YIL SONU ŞİRKET DEĞERLEMESİ</t>
  </si>
  <si>
    <t>Konut Fiyatı Yıllık Artış Oranı (Enflasyon)</t>
  </si>
  <si>
    <t>Başarılı Satış İşlemi Adedi (Konut)</t>
  </si>
  <si>
    <t>Dinamik Senaryo Seçici</t>
  </si>
  <si>
    <t>EBITDA Çarpanı (Sektör Standardı)</t>
  </si>
  <si>
    <t>Alıcı Komisyon Oranı (%)</t>
  </si>
  <si>
    <t>İstanbul Konut Satış Pazarı (Yıllık Adet)</t>
  </si>
  <si>
    <t>Pazar Yıllık Adet Artışı (%)</t>
  </si>
  <si>
    <t>&lt;- Yatırımcı için varsayılan çarpan</t>
  </si>
  <si>
    <t>Talep Edilen Yatırım Tutarı ($)</t>
  </si>
  <si>
    <t>5. Yıl Sonu EBITDA (USD)</t>
  </si>
  <si>
    <t>Yatırım Karşılığı Teklif Edilen Hisse (%)</t>
  </si>
  <si>
    <t>2</t>
  </si>
  <si>
    <t>YATIRIM FONUNUN KULLANIM DAĞILIMI</t>
  </si>
  <si>
    <t>Varsayimlar</t>
  </si>
  <si>
    <t>Dinamik senaryo seçici ve finansal girdiler</t>
  </si>
  <si>
    <t>Pazarlama ve Dijital Reklam bütçesi</t>
  </si>
  <si>
    <t>Dolar Kuru, Ortalama Konut Fiyatı, Senaryolar</t>
  </si>
  <si>
    <t>3D Kamera ve Çekim Ekipmanı</t>
  </si>
  <si>
    <t>Yazılım ve Sunucu Geliştirme</t>
  </si>
  <si>
    <t>Operasyonel ve Genel Giderler</t>
  </si>
  <si>
    <t>ID</t>
  </si>
  <si>
    <t>Senaryo Tanımı</t>
  </si>
  <si>
    <t>Yıl 1 (2026)</t>
  </si>
  <si>
    <t>Yıl 2 (2027)</t>
  </si>
  <si>
    <t>Yıl 3 (2028)</t>
  </si>
  <si>
    <t>Yıl 4 (2029)</t>
  </si>
  <si>
    <t>Yıl 5 (2030)</t>
  </si>
  <si>
    <t>Taban Senaryo (Base Case)</t>
  </si>
  <si>
    <t>3</t>
  </si>
  <si>
    <t>Projeksiyonlar</t>
  </si>
  <si>
    <t>5 yıllık dinamik gelir ve gider tablosu (TL &amp; USD)</t>
  </si>
  <si>
    <t>İyimser Senaryo (Bull Case)</t>
  </si>
  <si>
    <t>Ciro, Teşvikler, Pazarlama Giderleri, Net Kâr</t>
  </si>
  <si>
    <t>4</t>
  </si>
  <si>
    <t>Kötümser Senaryo (Bear Case)</t>
  </si>
  <si>
    <t>Degerleme_ve_Yatirim</t>
  </si>
  <si>
    <t>Yatırımcı geri dönüşü ve şirket değerlemesi</t>
  </si>
  <si>
    <t>EBITDA Çarpanı, Yatırım Getirisi (IRR), Payback</t>
  </si>
  <si>
    <t>Ortalama Konut Değeri (TL)</t>
  </si>
  <si>
    <t>Varsayımlar B7 | B8 Artış</t>
  </si>
  <si>
    <t>Girişim Değeri (USD) (Enterprise Value)</t>
  </si>
  <si>
    <t>5</t>
  </si>
  <si>
    <t>Grafikler</t>
  </si>
  <si>
    <t>Finansal büyümeyi gösteren görsel grafikler</t>
  </si>
  <si>
    <t>Gelir ve EBITDA Gelişimi, Yatırım Dağılımı</t>
  </si>
  <si>
    <t>6</t>
  </si>
  <si>
    <t>Kontroller</t>
  </si>
  <si>
    <t>Model formül ve matematik doğrulama tablosu</t>
  </si>
  <si>
    <t>Formül bütünlüğü ve tutarlılık testleri</t>
  </si>
  <si>
    <t>Model Biçimlendirme Lejantı</t>
  </si>
  <si>
    <t>Mavi Dolgu</t>
  </si>
  <si>
    <t>Girdi Hücresi (Kullanıcı tarafından değiştirilebilir assumptions)</t>
  </si>
  <si>
    <t>Yeşil Dolgu</t>
  </si>
  <si>
    <t>Hesaplama Hücresi (Formülle dinamik olarak üretilen sonuçlar)</t>
  </si>
  <si>
    <t>Toplam Platform İşlem Hacmi (TL)</t>
  </si>
  <si>
    <t>İşlem Adedi * Ortalama Fiyat</t>
  </si>
  <si>
    <t>Açık Sarı Dolgu</t>
  </si>
  <si>
    <t>Geçici Veri / Yer Tutucu (İleride gerçek verilerle güncellenmeli)</t>
  </si>
  <si>
    <t>Koyu Mavi Dolgu</t>
  </si>
  <si>
    <t>Teklif Edilen Hisse (%)</t>
  </si>
  <si>
    <t>Tablo Başlıkları ve Genel Toplamlar</t>
  </si>
  <si>
    <t>GELİR TABLOSU (TL)</t>
  </si>
  <si>
    <t>5. Yıl Sonu Yatırımcı Hisse Değeri (USD)</t>
  </si>
  <si>
    <t>Satış Komisyonu Geliri (TL) - %2</t>
  </si>
  <si>
    <t>İşlem Hacmi * Komisyon Oranı (%2)</t>
  </si>
  <si>
    <t>Yatırım Çarpanı (MOIC)</t>
  </si>
  <si>
    <t>İç Verim Oranı (IRR)</t>
  </si>
  <si>
    <t>Kiralama Komisyonu Geliri (TL) - (Kira Bedeli vb.)</t>
  </si>
  <si>
    <t>YATIRIM GERİ ÖDEME (PAYBACK) VE NAKİT AKIŞ ANALİZİ</t>
  </si>
  <si>
    <t>Metrik (USD)</t>
  </si>
  <si>
    <t>Yıl 0 (Bugün)</t>
  </si>
  <si>
    <t>Premium Hizmetler ve İlan Öne Çıkarma (TL)</t>
  </si>
  <si>
    <t>Yatırımcı Nakit Akışı (Girdi/Kâr Payı)</t>
  </si>
  <si>
    <t>Veri Analitiği ve Geliştirici Raporlama Abonelikleri (TL)</t>
  </si>
  <si>
    <t>Toplam Brüt Gelir (TL)</t>
  </si>
  <si>
    <t>Gelir Kalemleri Toplamı</t>
  </si>
  <si>
    <t>Toplam Brüt Gelir (USD)</t>
  </si>
  <si>
    <t>TL Ciro / Dolar Kuru</t>
  </si>
  <si>
    <t>Kümülatif Nakit Akışı</t>
  </si>
  <si>
    <t>Emlak Mimarı - Finansal Model Güvenilirlik Testleri</t>
  </si>
  <si>
    <t>No</t>
  </si>
  <si>
    <t>Güvenilirlik Test Adı</t>
  </si>
  <si>
    <t>Hedeflenen Değer</t>
  </si>
  <si>
    <t>FAALİYET GİDERLERİ (TL)</t>
  </si>
  <si>
    <t>Gerçekleşen / Fark</t>
  </si>
  <si>
    <t>Test Sonucu</t>
  </si>
  <si>
    <t>Ciro Tutarlılık Testi (TL Brüt Gelir vs Toplam Parçalar)</t>
  </si>
  <si>
    <t>Yatırım Geri Dönüş Durumu</t>
  </si>
  <si>
    <t>'Ev Getir Kazan' Satıcı Teşvik Giderleri (TL)</t>
  </si>
  <si>
    <t>Satış Komisyonu * %15 (Teşvik)</t>
  </si>
  <si>
    <t>Yatırım Yapıldı</t>
  </si>
  <si>
    <t>Pazarlama ve Dijital Reklam Giderleri (TL)</t>
  </si>
  <si>
    <t>Y1 Yatırımın %60'ı | Sonra %15 Ciro</t>
  </si>
  <si>
    <t>Döviz Çevrim Kontrolü (TL Ciro / Kur - USD Ciro)</t>
  </si>
  <si>
    <t>Yazılım Bakım ve Sunucu Giderleri (TL)</t>
  </si>
  <si>
    <t>Y1 %10 Fon | Sonra %15 Artış</t>
  </si>
  <si>
    <t>EBITDA Matematiksel Tutarlılığı (TL Ciro - TL OPEX - EBITDA)</t>
  </si>
  <si>
    <t>Ekipman Amortismanı ve Çekim Giderleri (TL)</t>
  </si>
  <si>
    <t>Y1 %20 Fon | Sonra %10 Artış</t>
  </si>
  <si>
    <t>Net Kâr Doğruluk Kontrolü (EBITDA - Amortisman - Vergi - Net Kâr)</t>
  </si>
  <si>
    <t>Personel ve Ekip Maaş Giderleri (TL)</t>
  </si>
  <si>
    <t>Y1: 5 Pers. | Y5: 20 Pers. Planı</t>
  </si>
  <si>
    <t>Genel Yönetim ve Kurumsal Giderler (TL)</t>
  </si>
  <si>
    <t>Y1 %10 Fon | Sonra %10 Artış</t>
  </si>
  <si>
    <t>Toplam Faaliyet Giderleri (OPEX) (TL)</t>
  </si>
  <si>
    <t>Faaliyet Giderleri Toplamı</t>
  </si>
  <si>
    <t>Toplam Faaliyet Giderleri (OPEX) (USD)</t>
  </si>
  <si>
    <t>TL OPEX / Dolar Kuru</t>
  </si>
  <si>
    <t>FİNANSAL ÖZET &amp; KÂRLILIK</t>
  </si>
  <si>
    <t>FAVÖK (EBITDA) (TL)</t>
  </si>
  <si>
    <t>Ciro (TL) - OPEX (TL)</t>
  </si>
  <si>
    <t>FAVÖK (EBITDA) (USD)</t>
  </si>
  <si>
    <t>TL EBITDA / Dolar Kuru</t>
  </si>
  <si>
    <t>FAVÖK Marjı (%)</t>
  </si>
  <si>
    <t>EBITDA / Toplam Gelir</t>
  </si>
  <si>
    <t>Amortisman Gideri (TL)</t>
  </si>
  <si>
    <t>Kamera &amp; Ekipman / 5 Yıl</t>
  </si>
  <si>
    <t>Kurumlar Vergisi (%20) (TL)</t>
  </si>
  <si>
    <t>Pozitif Kâr üzerinden %20 Vergi</t>
  </si>
  <si>
    <t>Net Dönem Kârı (TL)</t>
  </si>
  <si>
    <t>EBITDA - Amortisman - Vergi</t>
  </si>
  <si>
    <t>Net Dönem Kârı (USD)</t>
  </si>
  <si>
    <t>TL Net Kâr / Dolar Kuru</t>
  </si>
  <si>
    <t>Net Kâr Marjı (%)</t>
  </si>
  <si>
    <t>Net Kâr / Toplam Gelir</t>
  </si>
  <si>
    <t>Emlak Mimarı - Projeksiyon Grafikleri ve Görsel Veri Paneli</t>
  </si>
  <si>
    <t>GRAFİK VERİ KAYNAKLARI (Dinmikte Bağlıdır)</t>
  </si>
  <si>
    <t>YATIRIM FONU KULLANIM KIRILIMI</t>
  </si>
  <si>
    <t>2026</t>
  </si>
  <si>
    <t>2027</t>
  </si>
  <si>
    <t>2028</t>
  </si>
  <si>
    <t>2029</t>
  </si>
  <si>
    <t>2030</t>
  </si>
  <si>
    <t>Kullanım Alanı</t>
  </si>
  <si>
    <t>Yüzde (%)</t>
  </si>
  <si>
    <t>Pazarlama &amp; Reklam</t>
  </si>
  <si>
    <t>3D Ekipman &amp; Çekim</t>
  </si>
  <si>
    <t>Yazılım &amp; Altyapı</t>
  </si>
  <si>
    <t>Operasyonel &amp; Kurumsal</t>
  </si>
  <si>
    <t>7.5%</t>
  </si>
  <si>
    <t>Satış Gelirinin %35'i</t>
  </si>
  <si>
    <t>Satış Gelirinin %5'u</t>
  </si>
  <si>
    <t>Satış Gelirinin %1'i</t>
  </si>
  <si>
    <t xml:space="preserve">SENARYO MATRİSİ: 5 YILLIK HEDEFLENEN İŞLEM ADETLERİ İSTANBUL </t>
  </si>
  <si>
    <t>SENARYO MATRİSİ: ANKARA - İZMİR - TÜRKİYE HEDEFLERİNE GÖRE</t>
  </si>
  <si>
    <t>ANKARA - İZMİR 2027</t>
  </si>
  <si>
    <t>ANKARA - İZMİR 2028</t>
  </si>
  <si>
    <t>TÜRKİYE 2029</t>
  </si>
  <si>
    <t>TÜRKİYE 2030</t>
  </si>
  <si>
    <t>5 Yıllık Finansal Gelir ve Gider Projeksiyonları İstanbul</t>
  </si>
  <si>
    <t>ANKARA İZMİR VE TÜRKİYE İÇİN VERİLER</t>
  </si>
  <si>
    <t>Yıllık Ortalama Konut Fiyatı ANKARA (TL)</t>
  </si>
  <si>
    <t>Yıllık Ortalama Konut Fiyatı İZMİR (TL)</t>
  </si>
  <si>
    <t>Yıllık Ortalama Konut Fiyatı TÜRKİYE (TL)</t>
  </si>
  <si>
    <t>Yıllık Ortalama Konut Fiyatı İSTANBUL (TL)</t>
  </si>
  <si>
    <t>Ankara Konut Satış Pazarı (Yıllık Adet)</t>
  </si>
  <si>
    <t>İzmir Konut Satış Pazarı (Yıllık Adet)</t>
  </si>
  <si>
    <t>Türkiye Konut Satış Pazarı (Yıllık Adet)</t>
  </si>
  <si>
    <t>VERİLER</t>
  </si>
  <si>
    <t>SENARYO MATRİSİ: İSTANBUL - ANKARA - İZMİR - TÜRKİYE HEDEFLERİNE GÖRE</t>
  </si>
  <si>
    <t>&lt;- DEĞİŞTİRİN (4 = Taban Senaryo, 5 = İyimser Senaryo, 6 = Kötümser Senaryo)</t>
  </si>
  <si>
    <t>5 Yıllık Finansal Gelir ve Gider Projeksiyonları Hedefli</t>
  </si>
  <si>
    <t>YATIRIMCI GERİ DÖNÜŞÜ (350.000 $ YATIRIM İÇİN)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</si>
</sst>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₺&quot;#,##0"/>
    <numFmt numFmtId="165" formatCode="0.0%"/>
    <numFmt numFmtId="166" formatCode="&quot;$&quot;#,##0"/>
    <numFmt numFmtId="167" formatCode="0.0&quot;x&quot;"/>
    <numFmt numFmtId="168" formatCode="&quot;₺&quot;#,##0.00"/>
  </numFmts>
  <fonts count="14" x14ac:knownFonts="1">
    <font>
      <sz val="11"/>
      <color theme="1"/>
      <name val="Calibri"/>
      <scheme val="minor"/>
    </font>
    <font>
      <b/>
      <sz val="16"/>
      <color rgb="FF1F4E78"/>
      <name val="Calibri"/>
    </font>
    <font>
      <i/>
      <sz val="9"/>
      <color rgb="FF595959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name val="Calibri"/>
    </font>
    <font>
      <b/>
      <u/>
      <sz val="11"/>
      <color rgb="FF0563C1"/>
      <name val="Calibri"/>
    </font>
    <font>
      <b/>
      <u/>
      <sz val="11"/>
      <color rgb="FF0563C1"/>
      <name val="Calibri"/>
    </font>
    <font>
      <b/>
      <sz val="11"/>
      <color theme="1"/>
      <name val="Calibri"/>
      <family val="2"/>
      <charset val="162"/>
    </font>
    <font>
      <b/>
      <sz val="11"/>
      <color rgb="FFFFFFFF"/>
      <name val="Calibri"/>
      <family val="2"/>
      <charset val="162"/>
    </font>
    <font>
      <sz val="11"/>
      <name val="Calibri"/>
      <family val="2"/>
      <charset val="162"/>
    </font>
    <font>
      <i/>
      <sz val="9"/>
      <color rgb="FF595959"/>
      <name val="Calibri"/>
      <family val="2"/>
      <charset val="162"/>
    </font>
    <font>
      <b/>
      <sz val="16"/>
      <color rgb="FF1F4E7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2F5496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/>
    <xf numFmtId="3" fontId="3" fillId="4" borderId="4" xfId="0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3" fontId="5" fillId="7" borderId="4" xfId="0" applyNumberFormat="1" applyFont="1" applyFill="1" applyBorder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166" fontId="3" fillId="7" borderId="4" xfId="0" applyNumberFormat="1" applyFont="1" applyFill="1" applyBorder="1" applyAlignment="1">
      <alignment horizontal="right" vertical="center"/>
    </xf>
    <xf numFmtId="0" fontId="3" fillId="0" borderId="0" xfId="0" applyFont="1"/>
    <xf numFmtId="164" fontId="5" fillId="7" borderId="4" xfId="0" applyNumberFormat="1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center" vertical="center"/>
    </xf>
    <xf numFmtId="166" fontId="3" fillId="7" borderId="10" xfId="0" applyNumberFormat="1" applyFont="1" applyFill="1" applyBorder="1" applyAlignment="1">
      <alignment horizontal="right" vertical="center"/>
    </xf>
    <xf numFmtId="0" fontId="3" fillId="7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center" vertical="center"/>
    </xf>
    <xf numFmtId="165" fontId="3" fillId="7" borderId="4" xfId="0" applyNumberFormat="1" applyFont="1" applyFill="1" applyBorder="1" applyAlignment="1">
      <alignment horizontal="right" vertical="center"/>
    </xf>
    <xf numFmtId="167" fontId="3" fillId="7" borderId="4" xfId="0" applyNumberFormat="1" applyFont="1" applyFill="1" applyBorder="1" applyAlignment="1">
      <alignment horizontal="right" vertical="center"/>
    </xf>
    <xf numFmtId="165" fontId="3" fillId="7" borderId="11" xfId="0" applyNumberFormat="1" applyFont="1" applyFill="1" applyBorder="1" applyAlignment="1">
      <alignment horizontal="right" vertical="center"/>
    </xf>
    <xf numFmtId="166" fontId="3" fillId="0" borderId="4" xfId="0" applyNumberFormat="1" applyFont="1" applyBorder="1" applyAlignment="1">
      <alignment horizontal="right" vertical="center"/>
    </xf>
    <xf numFmtId="166" fontId="5" fillId="0" borderId="4" xfId="0" applyNumberFormat="1" applyFont="1" applyBorder="1" applyAlignment="1">
      <alignment horizontal="right" vertical="center"/>
    </xf>
    <xf numFmtId="166" fontId="3" fillId="2" borderId="10" xfId="0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3" fontId="5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165" fontId="3" fillId="2" borderId="10" xfId="0" applyNumberFormat="1" applyFont="1" applyFill="1" applyBorder="1" applyAlignment="1">
      <alignment horizontal="right" vertical="center"/>
    </xf>
    <xf numFmtId="0" fontId="3" fillId="0" borderId="4" xfId="0" applyFont="1" applyBorder="1"/>
    <xf numFmtId="0" fontId="5" fillId="0" borderId="4" xfId="0" applyFont="1" applyBorder="1"/>
    <xf numFmtId="165" fontId="3" fillId="0" borderId="4" xfId="0" applyNumberFormat="1" applyFont="1" applyBorder="1" applyAlignment="1">
      <alignment horizontal="right" vertical="center"/>
    </xf>
    <xf numFmtId="0" fontId="4" fillId="5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3" fontId="3" fillId="4" borderId="4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164" fontId="3" fillId="4" borderId="4" xfId="0" applyNumberFormat="1" applyFont="1" applyFill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/>
    </xf>
    <xf numFmtId="168" fontId="3" fillId="4" borderId="4" xfId="0" applyNumberFormat="1" applyFont="1" applyFill="1" applyBorder="1" applyAlignment="1">
      <alignment horizontal="center" vertical="center"/>
    </xf>
    <xf numFmtId="1" fontId="9" fillId="4" borderId="6" xfId="0" applyNumberFormat="1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3" fontId="5" fillId="4" borderId="4" xfId="0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168" fontId="0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5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4" fillId="5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5" borderId="7" xfId="0" applyFont="1" applyFill="1" applyBorder="1"/>
    <xf numFmtId="0" fontId="4" fillId="5" borderId="3" xfId="0" applyFont="1" applyFill="1" applyBorder="1" applyAlignment="1">
      <alignment horizontal="left" vertical="center"/>
    </xf>
    <xf numFmtId="0" fontId="6" fillId="0" borderId="5" xfId="0" applyFont="1" applyBorder="1"/>
    <xf numFmtId="0" fontId="6" fillId="0" borderId="6" xfId="0" applyFont="1" applyBorder="1"/>
    <xf numFmtId="0" fontId="10" fillId="5" borderId="3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rgb="FFDCE6F1"/>
          <bgColor rgb="FFDCE6F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tr-TR" b="1" i="0">
                <a:solidFill>
                  <a:srgbClr val="757575"/>
                </a:solidFill>
                <a:latin typeface="+mn-lt"/>
              </a:rPr>
              <a:t>5 Yıllık Finansal Büyüme Projeksiyonu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Grafikler!$A$5</c:f>
              <c:strCache>
                <c:ptCount val="1"/>
                <c:pt idx="0">
                  <c:v>Metrik (USD)</c:v>
                </c:pt>
              </c:strCache>
            </c:strRef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Grafikler!$B$5:$F$5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Grafikler!$B$5:$F$5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83D-4393-AA52-CF231D10B457}"/>
            </c:ext>
          </c:extLst>
        </c:ser>
        <c:ser>
          <c:idx val="1"/>
          <c:order val="1"/>
          <c:tx>
            <c:strRef>
              <c:f>Grafikler!$A$6</c:f>
              <c:strCache>
                <c:ptCount val="1"/>
                <c:pt idx="0">
                  <c:v>Toplam Brüt Gelir (USD)</c:v>
                </c:pt>
              </c:strCache>
            </c:strRef>
          </c:tx>
          <c:spPr>
            <a:solidFill>
              <a:srgbClr val="C0504D"/>
            </a:solidFill>
            <a:ln cmpd="sng">
              <a:noFill/>
            </a:ln>
          </c:spPr>
          <c:invertIfNegative val="1"/>
          <c:cat>
            <c:strRef>
              <c:f>Grafikler!$B$5:$F$5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Grafikler!$B$6:$F$6</c:f>
              <c:numCache>
                <c:formatCode>"$"#,##0</c:formatCode>
                <c:ptCount val="5"/>
                <c:pt idx="0">
                  <c:v>1003450</c:v>
                </c:pt>
                <c:pt idx="1">
                  <c:v>3379476.2499999995</c:v>
                </c:pt>
                <c:pt idx="2">
                  <c:v>11280032.312499998</c:v>
                </c:pt>
                <c:pt idx="3">
                  <c:v>32451894.64156248</c:v>
                </c:pt>
                <c:pt idx="4">
                  <c:v>81484014.92968747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83D-4393-AA52-CF231D10B457}"/>
            </c:ext>
          </c:extLst>
        </c:ser>
        <c:ser>
          <c:idx val="2"/>
          <c:order val="2"/>
          <c:tx>
            <c:strRef>
              <c:f>Grafikler!$A$7</c:f>
              <c:strCache>
                <c:ptCount val="1"/>
                <c:pt idx="0">
                  <c:v>FAVÖK (EBITDA) (USD)</c:v>
                </c:pt>
              </c:strCache>
            </c:strRef>
          </c:tx>
          <c:spPr>
            <a:solidFill>
              <a:srgbClr val="9BBB59"/>
            </a:solidFill>
            <a:ln cmpd="sng">
              <a:noFill/>
            </a:ln>
          </c:spPr>
          <c:invertIfNegative val="1"/>
          <c:cat>
            <c:strRef>
              <c:f>Grafikler!$B$5:$F$5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Grafikler!$B$7:$F$7</c:f>
              <c:numCache>
                <c:formatCode>"$"#,##0</c:formatCode>
                <c:ptCount val="5"/>
                <c:pt idx="0">
                  <c:v>502950</c:v>
                </c:pt>
                <c:pt idx="1">
                  <c:v>2277286.0624999995</c:v>
                </c:pt>
                <c:pt idx="2">
                  <c:v>8070686.5281249983</c:v>
                </c:pt>
                <c:pt idx="3">
                  <c:v>23677795.603140611</c:v>
                </c:pt>
                <c:pt idx="4">
                  <c:v>59940454.744921856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83D-4393-AA52-CF231D10B457}"/>
            </c:ext>
          </c:extLst>
        </c:ser>
        <c:ser>
          <c:idx val="3"/>
          <c:order val="3"/>
          <c:tx>
            <c:strRef>
              <c:f>Grafikler!$A$8</c:f>
              <c:strCache>
                <c:ptCount val="1"/>
                <c:pt idx="0">
                  <c:v>Net Dönem Kârı (USD)</c:v>
                </c:pt>
              </c:strCache>
            </c:strRef>
          </c:tx>
          <c:invertIfNegative val="1"/>
          <c:cat>
            <c:strRef>
              <c:f>Grafikler!$B$5:$F$5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Grafikler!$B$8:$F$8</c:f>
              <c:numCache>
                <c:formatCode>"$"#,##0</c:formatCode>
                <c:ptCount val="5"/>
                <c:pt idx="0">
                  <c:v>391160</c:v>
                </c:pt>
                <c:pt idx="1">
                  <c:v>1809508.8499999996</c:v>
                </c:pt>
                <c:pt idx="2">
                  <c:v>6442997.2224999992</c:v>
                </c:pt>
                <c:pt idx="3">
                  <c:v>18927329.28251249</c:v>
                </c:pt>
                <c:pt idx="4">
                  <c:v>47935965.875937484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3D-4393-AA52-CF231D10B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0748748"/>
        <c:axId val="798966151"/>
      </c:barChart>
      <c:catAx>
        <c:axId val="1490748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tr-TR" b="1" i="0">
                    <a:solidFill>
                      <a:srgbClr val="000000"/>
                    </a:solidFill>
                    <a:latin typeface="+mn-lt"/>
                  </a:rPr>
                  <a:t>Yıl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r-TR"/>
          </a:p>
        </c:txPr>
        <c:crossAx val="798966151"/>
        <c:crosses val="autoZero"/>
        <c:auto val="1"/>
        <c:lblAlgn val="ctr"/>
        <c:lblOffset val="100"/>
        <c:noMultiLvlLbl val="1"/>
      </c:catAx>
      <c:valAx>
        <c:axId val="798966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tr-TR" b="1" i="0">
                    <a:solidFill>
                      <a:srgbClr val="000000"/>
                    </a:solidFill>
                    <a:latin typeface="+mn-lt"/>
                  </a:rPr>
                  <a:t>USD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r-TR"/>
          </a:p>
        </c:txPr>
        <c:crossAx val="14907487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r-T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tr-TR" b="1" i="0">
                <a:solidFill>
                  <a:srgbClr val="757575"/>
                </a:solidFill>
                <a:latin typeface="+mn-lt"/>
              </a:rPr>
              <a:t>Talep Edilen 250.000 $'lık Yatırımın Kullanım Dağılımı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Grafikler!$I$5</c:f>
              <c:strCache>
                <c:ptCount val="1"/>
                <c:pt idx="0">
                  <c:v>Yüzde (%)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E045-4191-8E35-A647EE86ACD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E045-4191-8E35-A647EE86ACD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E045-4191-8E35-A647EE86ACD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E045-4191-8E35-A647EE86ACDD}"/>
              </c:ext>
            </c:extLst>
          </c:dPt>
          <c:cat>
            <c:strRef>
              <c:f>Grafikler!$H$6:$H$9</c:f>
              <c:strCache>
                <c:ptCount val="4"/>
                <c:pt idx="0">
                  <c:v>Pazarlama &amp; Reklam</c:v>
                </c:pt>
                <c:pt idx="1">
                  <c:v>3D Ekipman &amp; Çekim</c:v>
                </c:pt>
                <c:pt idx="2">
                  <c:v>Yazılım &amp; Altyapı</c:v>
                </c:pt>
                <c:pt idx="3">
                  <c:v>Operasyonel &amp; Kurumsal</c:v>
                </c:pt>
              </c:strCache>
            </c:strRef>
          </c:cat>
          <c:val>
            <c:numRef>
              <c:f>Grafikler!$I$6:$I$9</c:f>
              <c:numCache>
                <c:formatCode>0.0%</c:formatCode>
                <c:ptCount val="4"/>
                <c:pt idx="0">
                  <c:v>0.6</c:v>
                </c:pt>
                <c:pt idx="1">
                  <c:v>0.2</c:v>
                </c:pt>
                <c:pt idx="2">
                  <c:v>0.1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45-4191-8E35-A647EE86A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r-T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6477000" cy="4314825"/>
    <xdr:graphicFrame macro="">
      <xdr:nvGraphicFramePr>
        <xdr:cNvPr id="81693905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0</xdr:colOff>
      <xdr:row>10</xdr:row>
      <xdr:rowOff>0</xdr:rowOff>
    </xdr:from>
    <xdr:ext cx="5038725" cy="3590925"/>
    <xdr:graphicFrame macro="">
      <xdr:nvGraphicFramePr>
        <xdr:cNvPr id="2925290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3" name="Tablo3" displayName="Tablo3" ref="A6:F20" totalsRowShown="0" headerRowDxfId="7" dataDxfId="6">
  <autoFilter ref="A6:F20"/>
  <tableColumns count="6">
    <tableColumn id="1" name="ANKARA İZMİR VE TÜRKİYE İÇİN VERİLER" dataDxfId="5"/>
    <tableColumn id="2" name="VERİLER" dataDxfId="4"/>
    <tableColumn id="3" name="2027" dataDxfId="3"/>
    <tableColumn id="4" name="2028" dataDxfId="2"/>
    <tableColumn id="5" name="2029" dataDxfId="1"/>
    <tableColumn id="6" name="203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00"/>
  <sheetViews>
    <sheetView showGridLines="0" workbookViewId="0"/>
  </sheetViews>
  <sheetFormatPr defaultColWidth="14.44140625" defaultRowHeight="15" customHeight="1" x14ac:dyDescent="0.3"/>
  <cols>
    <col min="1" max="5" width="25" customWidth="1"/>
    <col min="6" max="26" width="8.6640625" customWidth="1"/>
  </cols>
  <sheetData>
    <row r="2" spans="1:5" ht="21" x14ac:dyDescent="0.4">
      <c r="A2" s="1" t="s">
        <v>1</v>
      </c>
    </row>
    <row r="3" spans="1:5" ht="14.4" x14ac:dyDescent="0.3">
      <c r="A3" s="2" t="s">
        <v>2</v>
      </c>
    </row>
    <row r="5" spans="1:5" ht="14.4" x14ac:dyDescent="0.3">
      <c r="A5" s="3" t="s">
        <v>4</v>
      </c>
      <c r="B5" s="3" t="s">
        <v>6</v>
      </c>
      <c r="C5" s="3" t="s">
        <v>8</v>
      </c>
      <c r="D5" s="3" t="s">
        <v>11</v>
      </c>
      <c r="E5" s="3" t="s">
        <v>14</v>
      </c>
    </row>
    <row r="6" spans="1:5" ht="14.4" x14ac:dyDescent="0.3">
      <c r="A6" s="5" t="s">
        <v>16</v>
      </c>
      <c r="B6" s="5" t="s">
        <v>18</v>
      </c>
      <c r="C6" s="6" t="s">
        <v>20</v>
      </c>
      <c r="D6" s="6" t="s">
        <v>23</v>
      </c>
      <c r="E6" s="10" t="str">
        <f>HYPERLINK("#Icindekiler!A1", "Git →")</f>
        <v>Git →</v>
      </c>
    </row>
    <row r="7" spans="1:5" ht="14.4" x14ac:dyDescent="0.3">
      <c r="A7" s="11" t="s">
        <v>38</v>
      </c>
      <c r="B7" s="11" t="s">
        <v>40</v>
      </c>
      <c r="C7" s="12" t="s">
        <v>41</v>
      </c>
      <c r="D7" s="12" t="s">
        <v>43</v>
      </c>
      <c r="E7" s="14" t="str">
        <f>HYPERLINK("#Varsayimlar!A1", "Git →")</f>
        <v>Git →</v>
      </c>
    </row>
    <row r="8" spans="1:5" ht="14.4" x14ac:dyDescent="0.3">
      <c r="A8" s="5" t="s">
        <v>55</v>
      </c>
      <c r="B8" s="5" t="s">
        <v>56</v>
      </c>
      <c r="C8" s="6" t="s">
        <v>57</v>
      </c>
      <c r="D8" s="6" t="s">
        <v>59</v>
      </c>
      <c r="E8" s="10" t="str">
        <f>HYPERLINK("#Projeksiyonlar!A1", "Git →")</f>
        <v>Git →</v>
      </c>
    </row>
    <row r="9" spans="1:5" ht="14.4" x14ac:dyDescent="0.3">
      <c r="A9" s="11" t="s">
        <v>60</v>
      </c>
      <c r="B9" s="11" t="s">
        <v>62</v>
      </c>
      <c r="C9" s="12" t="s">
        <v>63</v>
      </c>
      <c r="D9" s="12" t="s">
        <v>64</v>
      </c>
      <c r="E9" s="14" t="str">
        <f>HYPERLINK("#Degerleme_ve_Yatirim!A1", "Git →")</f>
        <v>Git →</v>
      </c>
    </row>
    <row r="10" spans="1:5" ht="14.4" x14ac:dyDescent="0.3">
      <c r="A10" s="5" t="s">
        <v>68</v>
      </c>
      <c r="B10" s="5" t="s">
        <v>69</v>
      </c>
      <c r="C10" s="6" t="s">
        <v>70</v>
      </c>
      <c r="D10" s="6" t="s">
        <v>71</v>
      </c>
      <c r="E10" s="10" t="str">
        <f>HYPERLINK("#Grafikler!A1", "Git →")</f>
        <v>Git →</v>
      </c>
    </row>
    <row r="11" spans="1:5" ht="14.4" x14ac:dyDescent="0.3">
      <c r="A11" s="11" t="s">
        <v>72</v>
      </c>
      <c r="B11" s="11" t="s">
        <v>73</v>
      </c>
      <c r="C11" s="12" t="s">
        <v>74</v>
      </c>
      <c r="D11" s="12" t="s">
        <v>75</v>
      </c>
      <c r="E11" s="14" t="str">
        <f>HYPERLINK("#Kontroller!A1", "Git →")</f>
        <v>Git →</v>
      </c>
    </row>
    <row r="14" spans="1:5" ht="14.4" x14ac:dyDescent="0.3">
      <c r="A14" s="16" t="s">
        <v>76</v>
      </c>
    </row>
    <row r="16" spans="1:5" ht="14.4" x14ac:dyDescent="0.3">
      <c r="A16" s="18" t="s">
        <v>77</v>
      </c>
      <c r="B16" s="60" t="s">
        <v>78</v>
      </c>
      <c r="C16" s="61"/>
      <c r="D16" s="62"/>
    </row>
    <row r="17" spans="1:4" ht="14.4" x14ac:dyDescent="0.3">
      <c r="A17" s="20" t="s">
        <v>79</v>
      </c>
      <c r="B17" s="60" t="s">
        <v>80</v>
      </c>
      <c r="C17" s="61"/>
      <c r="D17" s="62"/>
    </row>
    <row r="18" spans="1:4" ht="14.4" x14ac:dyDescent="0.3">
      <c r="A18" s="23" t="s">
        <v>83</v>
      </c>
      <c r="B18" s="60" t="s">
        <v>84</v>
      </c>
      <c r="C18" s="61"/>
      <c r="D18" s="62"/>
    </row>
    <row r="19" spans="1:4" ht="14.4" x14ac:dyDescent="0.3">
      <c r="A19" s="25" t="s">
        <v>85</v>
      </c>
      <c r="B19" s="60" t="s">
        <v>87</v>
      </c>
      <c r="C19" s="61"/>
      <c r="D19" s="62"/>
    </row>
    <row r="21" spans="1:4" ht="15.75" customHeight="1" x14ac:dyDescent="0.3"/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B16:D16"/>
    <mergeCell ref="B17:D17"/>
    <mergeCell ref="B18:D18"/>
    <mergeCell ref="B19:D1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00"/>
  <sheetViews>
    <sheetView tabSelected="1" zoomScale="85" zoomScaleNormal="85" workbookViewId="0">
      <selection activeCell="C25" sqref="C25"/>
    </sheetView>
  </sheetViews>
  <sheetFormatPr defaultColWidth="14.44140625" defaultRowHeight="15" customHeight="1" x14ac:dyDescent="0.3"/>
  <cols>
    <col min="1" max="1" width="47.6640625" style="45" bestFit="1" customWidth="1"/>
    <col min="2" max="2" width="25" style="45" customWidth="1"/>
    <col min="3" max="3" width="56.33203125" style="45" bestFit="1" customWidth="1"/>
    <col min="4" max="4" width="25" style="45" customWidth="1"/>
    <col min="5" max="5" width="12.88671875" style="45" bestFit="1" customWidth="1"/>
    <col min="6" max="6" width="42.44140625" style="45" bestFit="1" customWidth="1"/>
    <col min="7" max="7" width="25" style="45" customWidth="1"/>
    <col min="8" max="11" width="12.88671875" style="45" bestFit="1" customWidth="1"/>
    <col min="12" max="26" width="8.6640625" style="45" customWidth="1"/>
    <col min="27" max="16384" width="14.44140625" style="45"/>
  </cols>
  <sheetData>
    <row r="2" spans="1:3" ht="21" x14ac:dyDescent="0.4">
      <c r="A2" s="52" t="s">
        <v>0</v>
      </c>
    </row>
    <row r="4" spans="1:3" thickBot="1" x14ac:dyDescent="0.35">
      <c r="A4" s="53" t="s">
        <v>3</v>
      </c>
      <c r="B4" s="4">
        <v>1</v>
      </c>
      <c r="C4" s="54" t="s">
        <v>9</v>
      </c>
    </row>
    <row r="6" spans="1:3" ht="14.4" x14ac:dyDescent="0.3">
      <c r="A6" s="63" t="s">
        <v>12</v>
      </c>
      <c r="B6" s="64"/>
      <c r="C6" s="65"/>
    </row>
    <row r="7" spans="1:3" ht="14.4" x14ac:dyDescent="0.3">
      <c r="A7" s="43" t="s">
        <v>21</v>
      </c>
      <c r="B7" s="44">
        <v>48</v>
      </c>
    </row>
    <row r="8" spans="1:3" ht="14.4" x14ac:dyDescent="0.3">
      <c r="A8" s="43" t="s">
        <v>25</v>
      </c>
      <c r="B8" s="46">
        <v>6100000</v>
      </c>
    </row>
    <row r="9" spans="1:3" ht="14.4" x14ac:dyDescent="0.3">
      <c r="A9" s="43" t="s">
        <v>27</v>
      </c>
      <c r="B9" s="47">
        <v>0.15</v>
      </c>
    </row>
    <row r="10" spans="1:3" ht="14.4" x14ac:dyDescent="0.3">
      <c r="A10" s="43" t="s">
        <v>31</v>
      </c>
      <c r="B10" s="47">
        <v>0.02</v>
      </c>
    </row>
    <row r="11" spans="1:3" ht="14.4" x14ac:dyDescent="0.3">
      <c r="A11" s="43" t="s">
        <v>32</v>
      </c>
      <c r="B11" s="44">
        <v>286000</v>
      </c>
    </row>
    <row r="12" spans="1:3" ht="14.4" x14ac:dyDescent="0.3">
      <c r="A12" s="43" t="s">
        <v>33</v>
      </c>
      <c r="B12" s="47" t="s">
        <v>166</v>
      </c>
    </row>
    <row r="13" spans="1:3" ht="14.4" x14ac:dyDescent="0.3">
      <c r="A13" s="43" t="s">
        <v>35</v>
      </c>
      <c r="B13" s="48">
        <v>350000</v>
      </c>
    </row>
    <row r="14" spans="1:3" ht="14.4" x14ac:dyDescent="0.3">
      <c r="A14" s="43" t="s">
        <v>37</v>
      </c>
      <c r="B14" s="47">
        <v>0.2</v>
      </c>
    </row>
    <row r="16" spans="1:3" ht="14.4" x14ac:dyDescent="0.3">
      <c r="A16" s="63" t="s">
        <v>39</v>
      </c>
      <c r="B16" s="64"/>
      <c r="C16" s="65"/>
    </row>
    <row r="17" spans="1:7" ht="14.4" x14ac:dyDescent="0.3">
      <c r="A17" s="43" t="s">
        <v>42</v>
      </c>
      <c r="B17" s="47">
        <v>0.6</v>
      </c>
    </row>
    <row r="18" spans="1:7" ht="14.4" x14ac:dyDescent="0.3">
      <c r="A18" s="43" t="s">
        <v>44</v>
      </c>
      <c r="B18" s="47">
        <v>0.2</v>
      </c>
    </row>
    <row r="19" spans="1:7" ht="14.4" x14ac:dyDescent="0.3">
      <c r="A19" s="43" t="s">
        <v>45</v>
      </c>
      <c r="B19" s="47">
        <v>0.1</v>
      </c>
    </row>
    <row r="20" spans="1:7" ht="14.4" x14ac:dyDescent="0.3">
      <c r="A20" s="43" t="s">
        <v>46</v>
      </c>
      <c r="B20" s="47">
        <v>0.1</v>
      </c>
    </row>
    <row r="21" spans="1:7" ht="15.75" customHeight="1" x14ac:dyDescent="0.3"/>
    <row r="22" spans="1:7" ht="15.75" customHeight="1" x14ac:dyDescent="0.3"/>
    <row r="23" spans="1:7" ht="15.75" customHeight="1" x14ac:dyDescent="0.3">
      <c r="A23" s="63" t="s">
        <v>170</v>
      </c>
      <c r="B23" s="64"/>
      <c r="C23" s="64"/>
      <c r="D23" s="64"/>
      <c r="E23" s="64"/>
      <c r="F23" s="64"/>
      <c r="G23" s="65"/>
    </row>
    <row r="24" spans="1:7" ht="15.75" customHeight="1" x14ac:dyDescent="0.3">
      <c r="A24" s="3" t="s">
        <v>47</v>
      </c>
      <c r="B24" s="3" t="s">
        <v>48</v>
      </c>
      <c r="C24" s="3" t="s">
        <v>49</v>
      </c>
      <c r="D24" s="3" t="s">
        <v>50</v>
      </c>
      <c r="E24" s="3" t="s">
        <v>51</v>
      </c>
      <c r="F24" s="3" t="s">
        <v>52</v>
      </c>
      <c r="G24" s="3" t="s">
        <v>53</v>
      </c>
    </row>
    <row r="25" spans="1:7" ht="15.75" customHeight="1" x14ac:dyDescent="0.3">
      <c r="A25" s="5">
        <v>1</v>
      </c>
      <c r="B25" s="5" t="s">
        <v>54</v>
      </c>
      <c r="C25" s="55">
        <v>280</v>
      </c>
      <c r="D25" s="55">
        <v>820</v>
      </c>
      <c r="E25" s="55">
        <v>2380</v>
      </c>
      <c r="F25" s="55">
        <v>5954</v>
      </c>
      <c r="G25" s="55">
        <v>13000</v>
      </c>
    </row>
    <row r="26" spans="1:7" ht="15.75" customHeight="1" x14ac:dyDescent="0.3">
      <c r="A26" s="5">
        <v>2</v>
      </c>
      <c r="B26" s="5" t="s">
        <v>58</v>
      </c>
      <c r="C26" s="55">
        <v>400</v>
      </c>
      <c r="D26" s="55">
        <v>1300</v>
      </c>
      <c r="E26" s="55">
        <v>3970</v>
      </c>
      <c r="F26" s="55">
        <v>8661</v>
      </c>
      <c r="G26" s="55">
        <v>16239</v>
      </c>
    </row>
    <row r="27" spans="1:7" ht="15.75" customHeight="1" x14ac:dyDescent="0.3">
      <c r="A27" s="5">
        <v>3</v>
      </c>
      <c r="B27" s="5" t="s">
        <v>61</v>
      </c>
      <c r="C27" s="55">
        <v>140</v>
      </c>
      <c r="D27" s="55">
        <v>433</v>
      </c>
      <c r="E27" s="55">
        <v>1083</v>
      </c>
      <c r="F27" s="55">
        <v>2706</v>
      </c>
      <c r="G27" s="55">
        <v>5413</v>
      </c>
    </row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6:C6"/>
    <mergeCell ref="A16:C16"/>
    <mergeCell ref="A23:G23"/>
  </mergeCells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00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36" sqref="E36"/>
    </sheetView>
  </sheetViews>
  <sheetFormatPr defaultColWidth="14.44140625" defaultRowHeight="15" customHeight="1" x14ac:dyDescent="0.3"/>
  <cols>
    <col min="1" max="1" width="45" customWidth="1"/>
    <col min="2" max="2" width="28" customWidth="1"/>
    <col min="3" max="7" width="20" customWidth="1"/>
    <col min="8" max="26" width="8.6640625" customWidth="1"/>
  </cols>
  <sheetData>
    <row r="2" spans="1:7" ht="21" x14ac:dyDescent="0.4">
      <c r="A2" s="1" t="s">
        <v>176</v>
      </c>
    </row>
    <row r="4" spans="1:7" ht="14.4" x14ac:dyDescent="0.3">
      <c r="A4" s="3" t="s">
        <v>5</v>
      </c>
      <c r="B4" s="3" t="s">
        <v>7</v>
      </c>
      <c r="C4" s="3" t="s">
        <v>10</v>
      </c>
      <c r="D4" s="3" t="s">
        <v>13</v>
      </c>
      <c r="E4" s="3" t="s">
        <v>15</v>
      </c>
      <c r="F4" s="3" t="s">
        <v>17</v>
      </c>
      <c r="G4" s="3" t="s">
        <v>19</v>
      </c>
    </row>
    <row r="5" spans="1:7" ht="14.4" x14ac:dyDescent="0.3">
      <c r="A5" s="66" t="s">
        <v>22</v>
      </c>
      <c r="B5" s="61"/>
      <c r="C5" s="61"/>
      <c r="D5" s="61"/>
      <c r="E5" s="61"/>
      <c r="F5" s="61"/>
      <c r="G5" s="62"/>
    </row>
    <row r="6" spans="1:7" ht="14.4" x14ac:dyDescent="0.3">
      <c r="A6" s="6" t="s">
        <v>28</v>
      </c>
      <c r="B6" s="9" t="s">
        <v>29</v>
      </c>
      <c r="C6" s="13">
        <f>INDEX(Varsayimlar!$C$25:$G$27, Varsayimlar!$B$4, 1)</f>
        <v>280</v>
      </c>
      <c r="D6" s="13">
        <f t="array" ref="D6">INDEX(Varsayimlar!$C$25:$G$27, Varsayimlar!$B$4, 2)</f>
        <v>820</v>
      </c>
      <c r="E6" s="13">
        <f t="array" ref="E6">INDEX(Varsayimlar!$C$25:$G$27, Varsayimlar!$B$4, 3)</f>
        <v>2380</v>
      </c>
      <c r="F6" s="13">
        <f t="array" ref="F6">INDEX(Varsayimlar!$C$25:$G$27, Varsayimlar!$B$4, 4)</f>
        <v>5954</v>
      </c>
      <c r="G6" s="13">
        <f t="array" ref="G6">INDEX(Varsayimlar!$C$25:$G$27, Varsayimlar!$B$4, 5)</f>
        <v>13000</v>
      </c>
    </row>
    <row r="7" spans="1:7" ht="14.4" x14ac:dyDescent="0.3">
      <c r="A7" s="6" t="s">
        <v>65</v>
      </c>
      <c r="B7" s="9" t="s">
        <v>66</v>
      </c>
      <c r="C7" s="17">
        <f>Varsayimlar!$B$8</f>
        <v>6100000</v>
      </c>
      <c r="D7" s="17">
        <f>C7*(1+Varsayimlar!$B$9)</f>
        <v>7014999.9999999991</v>
      </c>
      <c r="E7" s="17">
        <f>D7*(1+Varsayimlar!$B$9)</f>
        <v>8067249.9999999981</v>
      </c>
      <c r="F7" s="17">
        <f>E7*(1+Varsayimlar!$B$9)</f>
        <v>9277337.4999999963</v>
      </c>
      <c r="G7" s="17">
        <f>F7*(1+Varsayimlar!$B$9)</f>
        <v>10668938.124999994</v>
      </c>
    </row>
    <row r="8" spans="1:7" ht="14.4" x14ac:dyDescent="0.3">
      <c r="A8" s="21" t="s">
        <v>81</v>
      </c>
      <c r="B8" s="22" t="s">
        <v>82</v>
      </c>
      <c r="C8" s="24">
        <f t="shared" ref="C8:G8" si="0">C6*C7</f>
        <v>1708000000</v>
      </c>
      <c r="D8" s="24">
        <f t="shared" si="0"/>
        <v>5752299999.999999</v>
      </c>
      <c r="E8" s="24">
        <f t="shared" si="0"/>
        <v>19200054999.999996</v>
      </c>
      <c r="F8" s="24">
        <f t="shared" si="0"/>
        <v>55237267474.999977</v>
      </c>
      <c r="G8" s="24">
        <f t="shared" si="0"/>
        <v>138696195624.99994</v>
      </c>
    </row>
    <row r="9" spans="1:7" ht="14.4" x14ac:dyDescent="0.3">
      <c r="A9" s="66" t="s">
        <v>88</v>
      </c>
      <c r="B9" s="61"/>
      <c r="C9" s="61"/>
      <c r="D9" s="61"/>
      <c r="E9" s="61"/>
      <c r="F9" s="61"/>
      <c r="G9" s="62"/>
    </row>
    <row r="10" spans="1:7" ht="14.4" x14ac:dyDescent="0.3">
      <c r="A10" s="6" t="s">
        <v>90</v>
      </c>
      <c r="B10" s="9" t="s">
        <v>91</v>
      </c>
      <c r="C10" s="17">
        <f>C8*Varsayimlar!$B$10</f>
        <v>34160000</v>
      </c>
      <c r="D10" s="17">
        <f>D8*Varsayimlar!$B$10</f>
        <v>115045999.99999999</v>
      </c>
      <c r="E10" s="17">
        <f>E8*Varsayimlar!$B$10</f>
        <v>384001099.99999994</v>
      </c>
      <c r="F10" s="17">
        <f>F8*Varsayimlar!$B$10</f>
        <v>1104745349.4999995</v>
      </c>
      <c r="G10" s="17">
        <f>G8*Varsayimlar!$B$10</f>
        <v>2773923912.499999</v>
      </c>
    </row>
    <row r="11" spans="1:7" ht="14.4" x14ac:dyDescent="0.3">
      <c r="A11" s="6" t="s">
        <v>94</v>
      </c>
      <c r="B11" s="9" t="s">
        <v>167</v>
      </c>
      <c r="C11" s="17">
        <f>C10*0.35</f>
        <v>11956000</v>
      </c>
      <c r="D11" s="17">
        <f>D10*0.35</f>
        <v>40266099.999999993</v>
      </c>
      <c r="E11" s="17">
        <f>E10*0.35</f>
        <v>134400384.99999997</v>
      </c>
      <c r="F11" s="17">
        <f>F10*0.35</f>
        <v>386660872.32499981</v>
      </c>
      <c r="G11" s="17">
        <f>G10*0.35</f>
        <v>970873369.37499964</v>
      </c>
    </row>
    <row r="12" spans="1:7" ht="14.4" x14ac:dyDescent="0.3">
      <c r="A12" s="6" t="s">
        <v>98</v>
      </c>
      <c r="B12" s="9" t="s">
        <v>168</v>
      </c>
      <c r="C12" s="17">
        <f>C10*0.05</f>
        <v>1708000</v>
      </c>
      <c r="D12" s="17">
        <f>D10*0.05</f>
        <v>5752300</v>
      </c>
      <c r="E12" s="17">
        <f>E10*0.05</f>
        <v>19200054.999999996</v>
      </c>
      <c r="F12" s="17">
        <f>F10*0.05</f>
        <v>55237267.474999979</v>
      </c>
      <c r="G12" s="17">
        <f>G10*0.05</f>
        <v>138696195.62499997</v>
      </c>
    </row>
    <row r="13" spans="1:7" ht="14.4" x14ac:dyDescent="0.3">
      <c r="A13" s="6" t="s">
        <v>100</v>
      </c>
      <c r="B13" s="9" t="s">
        <v>169</v>
      </c>
      <c r="C13" s="17">
        <f>C10*0.01</f>
        <v>341600</v>
      </c>
      <c r="D13" s="17">
        <f>D10*0.01</f>
        <v>1150459.9999999998</v>
      </c>
      <c r="E13" s="17">
        <f>E10*0.01</f>
        <v>3840010.9999999995</v>
      </c>
      <c r="F13" s="17">
        <f>F10*0.01</f>
        <v>11047453.494999995</v>
      </c>
      <c r="G13" s="17">
        <f>G10*0.01</f>
        <v>27739239.124999993</v>
      </c>
    </row>
    <row r="14" spans="1:7" ht="14.4" x14ac:dyDescent="0.3">
      <c r="A14" s="21" t="s">
        <v>101</v>
      </c>
      <c r="B14" s="22" t="s">
        <v>102</v>
      </c>
      <c r="C14" s="24">
        <f t="shared" ref="C14:G14" si="1">SUM(C10:C13)</f>
        <v>48165600</v>
      </c>
      <c r="D14" s="24">
        <f t="shared" si="1"/>
        <v>162214859.99999997</v>
      </c>
      <c r="E14" s="24">
        <f t="shared" si="1"/>
        <v>541441550.99999988</v>
      </c>
      <c r="F14" s="24">
        <f t="shared" si="1"/>
        <v>1557690942.7949991</v>
      </c>
      <c r="G14" s="24">
        <f t="shared" si="1"/>
        <v>3911232716.6249986</v>
      </c>
    </row>
    <row r="15" spans="1:7" ht="14.4" x14ac:dyDescent="0.3">
      <c r="A15" s="21" t="s">
        <v>103</v>
      </c>
      <c r="B15" s="22" t="s">
        <v>104</v>
      </c>
      <c r="C15" s="31">
        <f>C14/Varsayimlar!$B$7</f>
        <v>1003450</v>
      </c>
      <c r="D15" s="31">
        <f>D14/Varsayimlar!$B$7</f>
        <v>3379476.2499999995</v>
      </c>
      <c r="E15" s="31">
        <f>E14/Varsayimlar!$B$7</f>
        <v>11280032.312499998</v>
      </c>
      <c r="F15" s="31">
        <f>F14/Varsayimlar!$B$7</f>
        <v>32451894.64156248</v>
      </c>
      <c r="G15" s="31">
        <f>G14/Varsayimlar!$B$7</f>
        <v>81484014.92968747</v>
      </c>
    </row>
    <row r="16" spans="1:7" ht="14.4" x14ac:dyDescent="0.3">
      <c r="A16" s="66" t="s">
        <v>110</v>
      </c>
      <c r="B16" s="61"/>
      <c r="C16" s="61"/>
      <c r="D16" s="61"/>
      <c r="E16" s="61"/>
      <c r="F16" s="61"/>
      <c r="G16" s="62"/>
    </row>
    <row r="17" spans="1:7" ht="14.4" x14ac:dyDescent="0.3">
      <c r="A17" s="6" t="s">
        <v>115</v>
      </c>
      <c r="B17" s="9" t="s">
        <v>116</v>
      </c>
      <c r="C17" s="17">
        <f t="shared" ref="C17:G17" si="2">C10*0.15</f>
        <v>5124000</v>
      </c>
      <c r="D17" s="17">
        <f t="shared" si="2"/>
        <v>17256899.999999996</v>
      </c>
      <c r="E17" s="17">
        <f t="shared" si="2"/>
        <v>57600164.999999993</v>
      </c>
      <c r="F17" s="17">
        <f t="shared" si="2"/>
        <v>165711802.42499992</v>
      </c>
      <c r="G17" s="17">
        <f t="shared" si="2"/>
        <v>416088586.87499982</v>
      </c>
    </row>
    <row r="18" spans="1:7" ht="14.4" x14ac:dyDescent="0.3">
      <c r="A18" s="6" t="s">
        <v>118</v>
      </c>
      <c r="B18" s="9" t="s">
        <v>119</v>
      </c>
      <c r="C18" s="17">
        <f>Varsayimlar!$B$13*Varsayimlar!$B$17*Varsayimlar!$B$7</f>
        <v>10080000</v>
      </c>
      <c r="D18" s="17">
        <f t="shared" ref="D18:G18" si="3">D14*0.15</f>
        <v>24332228.999999996</v>
      </c>
      <c r="E18" s="17">
        <f t="shared" si="3"/>
        <v>81216232.649999976</v>
      </c>
      <c r="F18" s="17">
        <f t="shared" si="3"/>
        <v>233653641.41924986</v>
      </c>
      <c r="G18" s="17">
        <f t="shared" si="3"/>
        <v>586684907.49374974</v>
      </c>
    </row>
    <row r="19" spans="1:7" ht="14.4" x14ac:dyDescent="0.3">
      <c r="A19" s="6" t="s">
        <v>121</v>
      </c>
      <c r="B19" s="9" t="s">
        <v>122</v>
      </c>
      <c r="C19" s="17">
        <f>Varsayimlar!$B$13*Varsayimlar!$B$19*Varsayimlar!$B$7</f>
        <v>1680000</v>
      </c>
      <c r="D19" s="17">
        <f t="shared" ref="D19:G19" si="4">C19*1.15</f>
        <v>1931999.9999999998</v>
      </c>
      <c r="E19" s="17">
        <f t="shared" si="4"/>
        <v>2221799.9999999995</v>
      </c>
      <c r="F19" s="17">
        <f t="shared" si="4"/>
        <v>2555069.9999999991</v>
      </c>
      <c r="G19" s="17">
        <f t="shared" si="4"/>
        <v>2938330.4999999986</v>
      </c>
    </row>
    <row r="20" spans="1:7" ht="14.4" x14ac:dyDescent="0.3">
      <c r="A20" s="6" t="s">
        <v>124</v>
      </c>
      <c r="B20" s="9" t="s">
        <v>125</v>
      </c>
      <c r="C20" s="17">
        <f>Varsayimlar!$B$13*Varsayimlar!$B$18*Varsayimlar!$B$7</f>
        <v>3360000</v>
      </c>
      <c r="D20" s="17">
        <f t="shared" ref="D20:G20" si="5">C20*1.1</f>
        <v>3696000.0000000005</v>
      </c>
      <c r="E20" s="17">
        <f t="shared" si="5"/>
        <v>4065600.0000000009</v>
      </c>
      <c r="F20" s="17">
        <f t="shared" si="5"/>
        <v>4472160.0000000009</v>
      </c>
      <c r="G20" s="17">
        <f t="shared" si="5"/>
        <v>4919376.0000000019</v>
      </c>
    </row>
    <row r="21" spans="1:7" ht="15.75" customHeight="1" x14ac:dyDescent="0.3">
      <c r="A21" s="6" t="s">
        <v>127</v>
      </c>
      <c r="B21" s="36" t="s">
        <v>128</v>
      </c>
      <c r="C21" s="17">
        <v>2100000</v>
      </c>
      <c r="D21" s="17">
        <v>3840000</v>
      </c>
      <c r="E21" s="17">
        <v>6912000</v>
      </c>
      <c r="F21" s="17">
        <v>12528000</v>
      </c>
      <c r="G21" s="17">
        <v>21000000</v>
      </c>
    </row>
    <row r="22" spans="1:7" ht="15.75" customHeight="1" x14ac:dyDescent="0.3">
      <c r="A22" s="6" t="s">
        <v>129</v>
      </c>
      <c r="B22" s="9" t="s">
        <v>130</v>
      </c>
      <c r="C22" s="17">
        <f>Varsayimlar!$B$13*Varsayimlar!$B$20*Varsayimlar!$B$7</f>
        <v>1680000</v>
      </c>
      <c r="D22" s="17">
        <f t="shared" ref="D22:G22" si="6">C22*1.1</f>
        <v>1848000.0000000002</v>
      </c>
      <c r="E22" s="17">
        <f t="shared" si="6"/>
        <v>2032800.0000000005</v>
      </c>
      <c r="F22" s="17">
        <f t="shared" si="6"/>
        <v>2236080.0000000005</v>
      </c>
      <c r="G22" s="17">
        <f t="shared" si="6"/>
        <v>2459688.0000000009</v>
      </c>
    </row>
    <row r="23" spans="1:7" ht="15.75" customHeight="1" x14ac:dyDescent="0.3">
      <c r="A23" s="21" t="s">
        <v>131</v>
      </c>
      <c r="B23" s="22" t="s">
        <v>132</v>
      </c>
      <c r="C23" s="24">
        <f t="shared" ref="C23:G23" si="7">SUM(C17:C22)</f>
        <v>24024000</v>
      </c>
      <c r="D23" s="24">
        <f t="shared" si="7"/>
        <v>52905128.999999993</v>
      </c>
      <c r="E23" s="24">
        <f t="shared" si="7"/>
        <v>154048597.64999998</v>
      </c>
      <c r="F23" s="24">
        <f t="shared" si="7"/>
        <v>421156753.84424978</v>
      </c>
      <c r="G23" s="24">
        <f t="shared" si="7"/>
        <v>1034090888.8687496</v>
      </c>
    </row>
    <row r="24" spans="1:7" ht="15.75" customHeight="1" x14ac:dyDescent="0.3">
      <c r="A24" s="21" t="s">
        <v>133</v>
      </c>
      <c r="B24" s="22" t="s">
        <v>134</v>
      </c>
      <c r="C24" s="31">
        <f>C23/Varsayimlar!$B$7</f>
        <v>500500</v>
      </c>
      <c r="D24" s="31">
        <f>D23/Varsayimlar!$B$7</f>
        <v>1102190.1874999998</v>
      </c>
      <c r="E24" s="31">
        <f>E23/Varsayimlar!$B$7</f>
        <v>3209345.7843749993</v>
      </c>
      <c r="F24" s="31">
        <f>F23/Varsayimlar!$B$7</f>
        <v>8774099.0384218711</v>
      </c>
      <c r="G24" s="31">
        <f>G23/Varsayimlar!$B$7</f>
        <v>21543560.184765618</v>
      </c>
    </row>
    <row r="25" spans="1:7" ht="15.75" customHeight="1" x14ac:dyDescent="0.3">
      <c r="A25" s="66" t="s">
        <v>135</v>
      </c>
      <c r="B25" s="61"/>
      <c r="C25" s="61"/>
      <c r="D25" s="61"/>
      <c r="E25" s="61"/>
      <c r="F25" s="61"/>
      <c r="G25" s="62"/>
    </row>
    <row r="26" spans="1:7" ht="15.75" customHeight="1" x14ac:dyDescent="0.3">
      <c r="A26" s="21" t="s">
        <v>136</v>
      </c>
      <c r="B26" s="22" t="s">
        <v>137</v>
      </c>
      <c r="C26" s="24">
        <f t="shared" ref="C26:G26" si="8">C14-C23</f>
        <v>24141600</v>
      </c>
      <c r="D26" s="24">
        <f t="shared" si="8"/>
        <v>109309730.99999997</v>
      </c>
      <c r="E26" s="24">
        <f t="shared" si="8"/>
        <v>387392953.3499999</v>
      </c>
      <c r="F26" s="24">
        <f t="shared" si="8"/>
        <v>1136534188.9507494</v>
      </c>
      <c r="G26" s="24">
        <f t="shared" si="8"/>
        <v>2877141827.756249</v>
      </c>
    </row>
    <row r="27" spans="1:7" ht="15.75" customHeight="1" x14ac:dyDescent="0.3">
      <c r="A27" s="21" t="s">
        <v>138</v>
      </c>
      <c r="B27" s="22" t="s">
        <v>139</v>
      </c>
      <c r="C27" s="31">
        <f>C26/Varsayimlar!$B$7</f>
        <v>502950</v>
      </c>
      <c r="D27" s="31">
        <f>D26/Varsayimlar!$B$7</f>
        <v>2277286.0624999995</v>
      </c>
      <c r="E27" s="31">
        <f>E26/Varsayimlar!$B$7</f>
        <v>8070686.5281249983</v>
      </c>
      <c r="F27" s="31">
        <f>F26/Varsayimlar!$B$7</f>
        <v>23677795.603140611</v>
      </c>
      <c r="G27" s="31">
        <f>G26/Varsayimlar!$B$7</f>
        <v>59940454.744921856</v>
      </c>
    </row>
    <row r="28" spans="1:7" ht="15.75" customHeight="1" x14ac:dyDescent="0.3">
      <c r="A28" s="21" t="s">
        <v>140</v>
      </c>
      <c r="B28" s="22" t="s">
        <v>141</v>
      </c>
      <c r="C28" s="37">
        <f t="shared" ref="C28:G28" si="9">IFERROR(C26/C14, 0)</f>
        <v>0.50122078828043248</v>
      </c>
      <c r="D28" s="37">
        <f t="shared" si="9"/>
        <v>0.67385769096616666</v>
      </c>
      <c r="E28" s="37">
        <f t="shared" si="9"/>
        <v>0.71548434477279343</v>
      </c>
      <c r="F28" s="37">
        <f t="shared" si="9"/>
        <v>0.72962752605561221</v>
      </c>
      <c r="G28" s="37">
        <f t="shared" si="9"/>
        <v>0.73560998186754112</v>
      </c>
    </row>
    <row r="29" spans="1:7" ht="15.75" customHeight="1" x14ac:dyDescent="0.3">
      <c r="A29" s="6" t="s">
        <v>142</v>
      </c>
      <c r="B29" s="9" t="s">
        <v>143</v>
      </c>
      <c r="C29" s="17">
        <f t="shared" ref="C29:G29" si="10">C20/5</f>
        <v>672000</v>
      </c>
      <c r="D29" s="17">
        <f t="shared" si="10"/>
        <v>739200.00000000012</v>
      </c>
      <c r="E29" s="17">
        <f t="shared" si="10"/>
        <v>813120.00000000023</v>
      </c>
      <c r="F29" s="17">
        <f t="shared" si="10"/>
        <v>894432.00000000023</v>
      </c>
      <c r="G29" s="17">
        <f t="shared" si="10"/>
        <v>983875.20000000042</v>
      </c>
    </row>
    <row r="30" spans="1:7" ht="15.75" customHeight="1" x14ac:dyDescent="0.3">
      <c r="A30" s="6" t="s">
        <v>144</v>
      </c>
      <c r="B30" s="9" t="s">
        <v>145</v>
      </c>
      <c r="C30" s="17">
        <f t="shared" ref="C30:G30" si="11">IF((C26-C29)&gt;0, (C26-C29)*0.2, 0)</f>
        <v>4693920</v>
      </c>
      <c r="D30" s="17">
        <f t="shared" si="11"/>
        <v>21714106.199999996</v>
      </c>
      <c r="E30" s="17">
        <f t="shared" si="11"/>
        <v>77315966.669999987</v>
      </c>
      <c r="F30" s="17">
        <f t="shared" si="11"/>
        <v>227127951.39014989</v>
      </c>
      <c r="G30" s="17">
        <f t="shared" si="11"/>
        <v>575231590.5112499</v>
      </c>
    </row>
    <row r="31" spans="1:7" ht="15.75" customHeight="1" x14ac:dyDescent="0.3">
      <c r="A31" s="21" t="s">
        <v>146</v>
      </c>
      <c r="B31" s="22" t="s">
        <v>147</v>
      </c>
      <c r="C31" s="24">
        <f t="shared" ref="C31:G31" si="12">C26-C29-C30</f>
        <v>18775680</v>
      </c>
      <c r="D31" s="24">
        <f t="shared" si="12"/>
        <v>86856424.799999982</v>
      </c>
      <c r="E31" s="24">
        <f t="shared" si="12"/>
        <v>309263866.67999995</v>
      </c>
      <c r="F31" s="24">
        <f t="shared" si="12"/>
        <v>908511805.56059957</v>
      </c>
      <c r="G31" s="24">
        <f t="shared" si="12"/>
        <v>2300926362.0449991</v>
      </c>
    </row>
    <row r="32" spans="1:7" ht="15.75" customHeight="1" x14ac:dyDescent="0.3">
      <c r="A32" s="21" t="s">
        <v>148</v>
      </c>
      <c r="B32" s="22" t="s">
        <v>149</v>
      </c>
      <c r="C32" s="31">
        <f>C31/Varsayimlar!$B$7</f>
        <v>391160</v>
      </c>
      <c r="D32" s="31">
        <f>D31/Varsayimlar!$B$7</f>
        <v>1809508.8499999996</v>
      </c>
      <c r="E32" s="31">
        <f>E31/Varsayimlar!$B$7</f>
        <v>6442997.2224999992</v>
      </c>
      <c r="F32" s="31">
        <f>F31/Varsayimlar!$B$7</f>
        <v>18927329.28251249</v>
      </c>
      <c r="G32" s="31">
        <f>G31/Varsayimlar!$B$7</f>
        <v>47935965.875937484</v>
      </c>
    </row>
    <row r="33" spans="1:7" ht="15.75" customHeight="1" x14ac:dyDescent="0.3">
      <c r="A33" s="32" t="s">
        <v>150</v>
      </c>
      <c r="B33" s="9" t="s">
        <v>151</v>
      </c>
      <c r="C33" s="26">
        <f t="shared" ref="C33:G33" si="13">IFERROR(C31/C14, 0)</f>
        <v>0.38981513777467736</v>
      </c>
      <c r="D33" s="26">
        <f t="shared" si="13"/>
        <v>0.53544061746254323</v>
      </c>
      <c r="E33" s="26">
        <f t="shared" si="13"/>
        <v>0.57118606082007184</v>
      </c>
      <c r="F33" s="26">
        <f t="shared" si="13"/>
        <v>0.58324265783457463</v>
      </c>
      <c r="G33" s="26">
        <f t="shared" si="13"/>
        <v>0.58828674455108054</v>
      </c>
    </row>
    <row r="34" spans="1:7" ht="15.75" customHeight="1" x14ac:dyDescent="0.3"/>
    <row r="35" spans="1:7" ht="15.75" customHeight="1" x14ac:dyDescent="0.3"/>
    <row r="36" spans="1:7" ht="15.75" customHeight="1" x14ac:dyDescent="0.3"/>
    <row r="37" spans="1:7" ht="15.75" customHeight="1" x14ac:dyDescent="0.3"/>
    <row r="38" spans="1:7" ht="15.75" customHeight="1" x14ac:dyDescent="0.3"/>
    <row r="39" spans="1:7" ht="15.75" customHeight="1" x14ac:dyDescent="0.3"/>
    <row r="40" spans="1:7" ht="15.75" customHeight="1" x14ac:dyDescent="0.3"/>
    <row r="41" spans="1:7" ht="15.75" customHeight="1" x14ac:dyDescent="0.3"/>
    <row r="42" spans="1:7" ht="15.75" customHeight="1" x14ac:dyDescent="0.3"/>
    <row r="43" spans="1:7" ht="15.75" customHeight="1" x14ac:dyDescent="0.3"/>
    <row r="44" spans="1:7" ht="15.75" customHeight="1" x14ac:dyDescent="0.3"/>
    <row r="45" spans="1:7" ht="15.75" customHeight="1" x14ac:dyDescent="0.3"/>
    <row r="46" spans="1:7" ht="15.75" customHeight="1" x14ac:dyDescent="0.3"/>
    <row r="47" spans="1:7" ht="15.75" customHeight="1" x14ac:dyDescent="0.3"/>
    <row r="48" spans="1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5:G5"/>
    <mergeCell ref="A9:G9"/>
    <mergeCell ref="A16:G16"/>
    <mergeCell ref="A25:G25"/>
  </mergeCells>
  <pageMargins left="0.75" right="0.75" top="1" bottom="1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00"/>
  <sheetViews>
    <sheetView showGridLines="0" zoomScale="85" zoomScaleNormal="85" workbookViewId="0">
      <selection activeCell="G22" sqref="A2:G22"/>
    </sheetView>
  </sheetViews>
  <sheetFormatPr defaultColWidth="14.44140625" defaultRowHeight="15" customHeight="1" x14ac:dyDescent="0.3"/>
  <cols>
    <col min="1" max="1" width="38" customWidth="1"/>
    <col min="2" max="2" width="20" customWidth="1"/>
    <col min="3" max="3" width="18" customWidth="1"/>
    <col min="4" max="4" width="20.5546875" bestFit="1" customWidth="1"/>
    <col min="5" max="7" width="18" customWidth="1"/>
    <col min="8" max="26" width="8.6640625" customWidth="1"/>
  </cols>
  <sheetData>
    <row r="2" spans="1:3" ht="21" x14ac:dyDescent="0.4">
      <c r="A2" s="1" t="s">
        <v>24</v>
      </c>
    </row>
    <row r="4" spans="1:3" ht="14.4" x14ac:dyDescent="0.3">
      <c r="A4" s="67" t="s">
        <v>26</v>
      </c>
      <c r="B4" s="68"/>
      <c r="C4" s="69"/>
    </row>
    <row r="5" spans="1:3" ht="14.4" x14ac:dyDescent="0.3">
      <c r="A5" s="7" t="s">
        <v>30</v>
      </c>
      <c r="B5" s="8">
        <v>10</v>
      </c>
      <c r="C5" s="2" t="s">
        <v>34</v>
      </c>
    </row>
    <row r="6" spans="1:3" ht="14.4" x14ac:dyDescent="0.3">
      <c r="A6" s="7" t="s">
        <v>36</v>
      </c>
      <c r="B6" s="15">
        <f>Projeksiyonlar!G27</f>
        <v>59940454.744921856</v>
      </c>
    </row>
    <row r="7" spans="1:3" ht="14.4" x14ac:dyDescent="0.3">
      <c r="A7" s="16" t="s">
        <v>67</v>
      </c>
      <c r="B7" s="19">
        <f>B5*B6</f>
        <v>599404547.44921851</v>
      </c>
    </row>
    <row r="10" spans="1:3" ht="14.4" x14ac:dyDescent="0.3">
      <c r="A10" s="70" t="s">
        <v>189</v>
      </c>
      <c r="B10" s="68"/>
      <c r="C10" s="69"/>
    </row>
    <row r="11" spans="1:3" ht="14.4" x14ac:dyDescent="0.3">
      <c r="A11" s="7" t="s">
        <v>35</v>
      </c>
      <c r="B11" s="15">
        <f>Varsayimlar!$B$13</f>
        <v>350000</v>
      </c>
    </row>
    <row r="12" spans="1:3" ht="14.4" x14ac:dyDescent="0.3">
      <c r="A12" s="7" t="s">
        <v>86</v>
      </c>
      <c r="B12" s="26">
        <f>Varsayimlar!$B$14</f>
        <v>0.2</v>
      </c>
    </row>
    <row r="13" spans="1:3" ht="14.4" x14ac:dyDescent="0.3">
      <c r="A13" s="16" t="s">
        <v>89</v>
      </c>
      <c r="B13" s="19">
        <f>B7*B12</f>
        <v>119880909.48984371</v>
      </c>
    </row>
    <row r="14" spans="1:3" ht="14.4" x14ac:dyDescent="0.3">
      <c r="A14" s="16" t="s">
        <v>92</v>
      </c>
      <c r="B14" s="27">
        <f>B13/B11</f>
        <v>342.5168842566963</v>
      </c>
    </row>
    <row r="15" spans="1:3" ht="14.4" x14ac:dyDescent="0.3">
      <c r="A15" s="16" t="s">
        <v>93</v>
      </c>
      <c r="B15" s="28">
        <f>(B14)^(1/5)-1</f>
        <v>2.213189927918719</v>
      </c>
    </row>
    <row r="18" spans="1:7" ht="14.4" x14ac:dyDescent="0.3">
      <c r="A18" s="67" t="s">
        <v>95</v>
      </c>
      <c r="B18" s="68"/>
      <c r="C18" s="68"/>
      <c r="D18" s="68"/>
      <c r="E18" s="68"/>
      <c r="F18" s="68"/>
      <c r="G18" s="69"/>
    </row>
    <row r="19" spans="1:7" ht="14.4" x14ac:dyDescent="0.3">
      <c r="A19" s="3" t="s">
        <v>96</v>
      </c>
      <c r="B19" s="3" t="s">
        <v>97</v>
      </c>
      <c r="C19" s="3" t="s">
        <v>49</v>
      </c>
      <c r="D19" s="3" t="s">
        <v>50</v>
      </c>
      <c r="E19" s="3" t="s">
        <v>51</v>
      </c>
      <c r="F19" s="3" t="s">
        <v>52</v>
      </c>
      <c r="G19" s="3" t="s">
        <v>53</v>
      </c>
    </row>
    <row r="20" spans="1:7" ht="14.4" x14ac:dyDescent="0.3">
      <c r="A20" s="7" t="s">
        <v>99</v>
      </c>
      <c r="B20" s="29">
        <f>-B11</f>
        <v>-350000</v>
      </c>
      <c r="C20" s="30">
        <f>Projeksiyonlar!C32*$B$12</f>
        <v>78232</v>
      </c>
      <c r="D20" s="30">
        <f>Projeksiyonlar!D32*$B$12</f>
        <v>361901.76999999996</v>
      </c>
      <c r="E20" s="30">
        <f>Projeksiyonlar!E32*$B$12</f>
        <v>1288599.4445</v>
      </c>
      <c r="F20" s="30">
        <f>Projeksiyonlar!F32*$B$12</f>
        <v>3785465.856502498</v>
      </c>
      <c r="G20" s="30">
        <f>Projeksiyonlar!G32*$B$12</f>
        <v>9587193.1751874965</v>
      </c>
    </row>
    <row r="21" spans="1:7" ht="15.75" customHeight="1" x14ac:dyDescent="0.3">
      <c r="A21" s="16" t="s">
        <v>105</v>
      </c>
      <c r="B21" s="29">
        <f>B20</f>
        <v>-350000</v>
      </c>
      <c r="C21" s="29">
        <f t="shared" ref="C21:G21" si="0">B21+C20</f>
        <v>-271768</v>
      </c>
      <c r="D21" s="29">
        <f t="shared" si="0"/>
        <v>90133.76999999996</v>
      </c>
      <c r="E21" s="29">
        <f t="shared" si="0"/>
        <v>1378733.2145</v>
      </c>
      <c r="F21" s="29">
        <f t="shared" si="0"/>
        <v>5164199.0710024983</v>
      </c>
      <c r="G21" s="29">
        <f t="shared" si="0"/>
        <v>14751392.246189995</v>
      </c>
    </row>
    <row r="22" spans="1:7" ht="15.75" customHeight="1" x14ac:dyDescent="0.3">
      <c r="A22" s="7" t="s">
        <v>114</v>
      </c>
      <c r="B22" s="9" t="s">
        <v>117</v>
      </c>
      <c r="C22" s="34" t="str">
        <f t="shared" ref="C22:G22" si="1">IF(AND(B21&lt;0, C21&gt;=0), "Geri Ödeme Sağlandı!", IF(C21&gt;=0, "Kârlı Dönem", "Devam Ediyor"))</f>
        <v>Devam Ediyor</v>
      </c>
      <c r="D22" s="34" t="str">
        <f t="shared" si="1"/>
        <v>Geri Ödeme Sağlandı!</v>
      </c>
      <c r="E22" s="34" t="str">
        <f t="shared" si="1"/>
        <v>Kârlı Dönem</v>
      </c>
      <c r="F22" s="34" t="str">
        <f t="shared" si="1"/>
        <v>Kârlı Dönem</v>
      </c>
      <c r="G22" s="34" t="str">
        <f t="shared" si="1"/>
        <v>Kârlı Dönem</v>
      </c>
    </row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4:C4"/>
    <mergeCell ref="A10:C10"/>
    <mergeCell ref="A18:G18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00"/>
  <sheetViews>
    <sheetView showGridLines="0" topLeftCell="A4" workbookViewId="0">
      <selection activeCell="B8" sqref="B8"/>
    </sheetView>
  </sheetViews>
  <sheetFormatPr defaultColWidth="14.44140625" defaultRowHeight="15" customHeight="1" x14ac:dyDescent="0.3"/>
  <cols>
    <col min="1" max="1" width="25" customWidth="1"/>
    <col min="2" max="6" width="15" customWidth="1"/>
    <col min="7" max="7" width="8.6640625" customWidth="1"/>
    <col min="8" max="8" width="25" customWidth="1"/>
    <col min="9" max="9" width="15" customWidth="1"/>
    <col min="10" max="26" width="8.6640625" customWidth="1"/>
  </cols>
  <sheetData>
    <row r="2" spans="1:9" ht="21" x14ac:dyDescent="0.4">
      <c r="A2" s="1" t="s">
        <v>152</v>
      </c>
    </row>
    <row r="4" spans="1:9" ht="14.4" x14ac:dyDescent="0.3">
      <c r="A4" s="67" t="s">
        <v>153</v>
      </c>
      <c r="B4" s="68"/>
      <c r="C4" s="68"/>
      <c r="D4" s="68"/>
      <c r="E4" s="68"/>
      <c r="F4" s="69"/>
      <c r="H4" s="67" t="s">
        <v>154</v>
      </c>
      <c r="I4" s="69"/>
    </row>
    <row r="5" spans="1:9" ht="14.4" x14ac:dyDescent="0.3">
      <c r="A5" s="3" t="s">
        <v>96</v>
      </c>
      <c r="B5" s="3" t="s">
        <v>155</v>
      </c>
      <c r="C5" s="3" t="s">
        <v>156</v>
      </c>
      <c r="D5" s="3" t="s">
        <v>157</v>
      </c>
      <c r="E5" s="3" t="s">
        <v>158</v>
      </c>
      <c r="F5" s="3" t="s">
        <v>159</v>
      </c>
      <c r="H5" s="3" t="s">
        <v>160</v>
      </c>
      <c r="I5" s="3" t="s">
        <v>161</v>
      </c>
    </row>
    <row r="6" spans="1:9" ht="14.4" x14ac:dyDescent="0.3">
      <c r="A6" s="38" t="s">
        <v>103</v>
      </c>
      <c r="B6" s="30">
        <f>Projeksiyonlar!C15</f>
        <v>1003450</v>
      </c>
      <c r="C6" s="30">
        <f>Projeksiyonlar!D15</f>
        <v>3379476.2499999995</v>
      </c>
      <c r="D6" s="30">
        <f>Projeksiyonlar!E15</f>
        <v>11280032.312499998</v>
      </c>
      <c r="E6" s="30">
        <f>Projeksiyonlar!F15</f>
        <v>32451894.64156248</v>
      </c>
      <c r="F6" s="30">
        <f>Projeksiyonlar!G15</f>
        <v>81484014.92968747</v>
      </c>
      <c r="H6" s="39" t="s">
        <v>162</v>
      </c>
      <c r="I6" s="40">
        <f>Varsayimlar!$B$17</f>
        <v>0.6</v>
      </c>
    </row>
    <row r="7" spans="1:9" ht="14.4" x14ac:dyDescent="0.3">
      <c r="A7" s="38" t="s">
        <v>138</v>
      </c>
      <c r="B7" s="30">
        <f>Projeksiyonlar!C27</f>
        <v>502950</v>
      </c>
      <c r="C7" s="30">
        <f>Projeksiyonlar!D27</f>
        <v>2277286.0624999995</v>
      </c>
      <c r="D7" s="30">
        <f>Projeksiyonlar!E27</f>
        <v>8070686.5281249983</v>
      </c>
      <c r="E7" s="30">
        <f>Projeksiyonlar!F27</f>
        <v>23677795.603140611</v>
      </c>
      <c r="F7" s="30">
        <f>Projeksiyonlar!G27</f>
        <v>59940454.744921856</v>
      </c>
      <c r="H7" s="39" t="s">
        <v>163</v>
      </c>
      <c r="I7" s="40">
        <f>Varsayimlar!$B$18</f>
        <v>0.2</v>
      </c>
    </row>
    <row r="8" spans="1:9" ht="14.4" x14ac:dyDescent="0.3">
      <c r="A8" s="38" t="s">
        <v>148</v>
      </c>
      <c r="B8" s="30">
        <f>Projeksiyonlar!C32</f>
        <v>391160</v>
      </c>
      <c r="C8" s="30">
        <f>Projeksiyonlar!D32</f>
        <v>1809508.8499999996</v>
      </c>
      <c r="D8" s="30">
        <f>Projeksiyonlar!E32</f>
        <v>6442997.2224999992</v>
      </c>
      <c r="E8" s="30">
        <f>Projeksiyonlar!F32</f>
        <v>18927329.28251249</v>
      </c>
      <c r="F8" s="30">
        <f>Projeksiyonlar!G32</f>
        <v>47935965.875937484</v>
      </c>
      <c r="H8" s="39" t="s">
        <v>164</v>
      </c>
      <c r="I8" s="40">
        <f>Varsayimlar!$B$19</f>
        <v>0.1</v>
      </c>
    </row>
    <row r="9" spans="1:9" ht="14.4" x14ac:dyDescent="0.3">
      <c r="H9" s="39" t="s">
        <v>165</v>
      </c>
      <c r="I9" s="40">
        <f>Varsayimlar!$B$20</f>
        <v>0.1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4:F4"/>
    <mergeCell ref="H4:I4"/>
  </mergeCells>
  <pageMargins left="0.75" right="0.75" top="1" bottom="1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00"/>
  <sheetViews>
    <sheetView showGridLines="0" workbookViewId="0"/>
  </sheetViews>
  <sheetFormatPr defaultColWidth="14.44140625" defaultRowHeight="15" customHeight="1" x14ac:dyDescent="0.3"/>
  <cols>
    <col min="1" max="1" width="8" customWidth="1"/>
    <col min="2" max="2" width="50" customWidth="1"/>
    <col min="3" max="3" width="18" customWidth="1"/>
    <col min="4" max="4" width="22" customWidth="1"/>
    <col min="5" max="5" width="18" customWidth="1"/>
    <col min="6" max="26" width="8.6640625" customWidth="1"/>
  </cols>
  <sheetData>
    <row r="2" spans="1:5" ht="21" x14ac:dyDescent="0.4">
      <c r="A2" s="1" t="s">
        <v>106</v>
      </c>
    </row>
    <row r="4" spans="1:5" ht="14.4" x14ac:dyDescent="0.3">
      <c r="A4" s="3" t="s">
        <v>107</v>
      </c>
      <c r="B4" s="3" t="s">
        <v>108</v>
      </c>
      <c r="C4" s="3" t="s">
        <v>109</v>
      </c>
      <c r="D4" s="3" t="s">
        <v>111</v>
      </c>
      <c r="E4" s="3" t="s">
        <v>112</v>
      </c>
    </row>
    <row r="5" spans="1:5" ht="14.4" x14ac:dyDescent="0.3">
      <c r="A5" s="5" t="s">
        <v>16</v>
      </c>
      <c r="B5" s="32" t="s">
        <v>113</v>
      </c>
      <c r="C5" s="33">
        <v>0</v>
      </c>
      <c r="D5" s="35">
        <f>Projeksiyonlar!C14-SUM(Projeksiyonlar!C10:'Projeksiyonlar'!C13)</f>
        <v>0</v>
      </c>
      <c r="E5" s="20" t="str">
        <f t="shared" ref="E5:E8" si="0">IF(ABS(D5)&lt;0.01, "BAŞARILI ✅", "HATA ❌")</f>
        <v>BAŞARILI ✅</v>
      </c>
    </row>
    <row r="6" spans="1:5" ht="14.4" x14ac:dyDescent="0.3">
      <c r="A6" s="5" t="s">
        <v>38</v>
      </c>
      <c r="B6" s="32" t="s">
        <v>120</v>
      </c>
      <c r="C6" s="33">
        <v>0</v>
      </c>
      <c r="D6" s="35">
        <f>Projeksiyonlar!C15-(Projeksiyonlar!C14/Varsayimlar!$B$7)</f>
        <v>0</v>
      </c>
      <c r="E6" s="20" t="str">
        <f t="shared" si="0"/>
        <v>BAŞARILI ✅</v>
      </c>
    </row>
    <row r="7" spans="1:5" ht="14.4" x14ac:dyDescent="0.3">
      <c r="A7" s="5" t="s">
        <v>55</v>
      </c>
      <c r="B7" s="32" t="s">
        <v>123</v>
      </c>
      <c r="C7" s="33">
        <v>0</v>
      </c>
      <c r="D7" s="35">
        <f>Projeksiyonlar!C26-(Projeksiyonlar!C14-Projeksiyonlar!C23)</f>
        <v>0</v>
      </c>
      <c r="E7" s="20" t="str">
        <f t="shared" si="0"/>
        <v>BAŞARILI ✅</v>
      </c>
    </row>
    <row r="8" spans="1:5" ht="14.4" x14ac:dyDescent="0.3">
      <c r="A8" s="5" t="s">
        <v>60</v>
      </c>
      <c r="B8" s="32" t="s">
        <v>126</v>
      </c>
      <c r="C8" s="33">
        <v>0</v>
      </c>
      <c r="D8" s="35">
        <f>Projeksiyonlar!C31-(Projeksiyonlar!C26-Projeksiyonlar!C29-Projeksiyonlar!C30)</f>
        <v>0</v>
      </c>
      <c r="E8" s="20" t="str">
        <f t="shared" si="0"/>
        <v>BAŞARILI ✅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"/>
  <sheetViews>
    <sheetView workbookViewId="0">
      <selection activeCell="F14" sqref="F14"/>
    </sheetView>
  </sheetViews>
  <sheetFormatPr defaultRowHeight="14.4" x14ac:dyDescent="0.3"/>
  <cols>
    <col min="1" max="1" width="47.6640625" bestFit="1" customWidth="1"/>
    <col min="2" max="2" width="25.88671875" bestFit="1" customWidth="1"/>
    <col min="3" max="3" width="54.88671875" bestFit="1" customWidth="1"/>
    <col min="4" max="6" width="12.5546875" bestFit="1" customWidth="1"/>
  </cols>
  <sheetData>
    <row r="2" spans="1:6" ht="21" x14ac:dyDescent="0.4">
      <c r="A2" s="52" t="s">
        <v>0</v>
      </c>
      <c r="B2" s="45"/>
      <c r="C2" s="45"/>
      <c r="D2" s="45"/>
    </row>
    <row r="3" spans="1:6" ht="15" thickBot="1" x14ac:dyDescent="0.35">
      <c r="A3" s="45"/>
      <c r="B3" s="45"/>
      <c r="C3" s="45"/>
      <c r="D3" s="45"/>
    </row>
    <row r="4" spans="1:6" ht="15" thickBot="1" x14ac:dyDescent="0.35">
      <c r="A4" s="53" t="s">
        <v>3</v>
      </c>
      <c r="B4" s="4">
        <v>5</v>
      </c>
      <c r="C4" s="58" t="s">
        <v>187</v>
      </c>
      <c r="D4" s="45"/>
    </row>
    <row r="5" spans="1:6" x14ac:dyDescent="0.3">
      <c r="A5" s="45"/>
      <c r="B5" s="45"/>
      <c r="C5" s="45"/>
      <c r="D5" s="45"/>
    </row>
    <row r="6" spans="1:6" x14ac:dyDescent="0.3">
      <c r="A6" s="41" t="s">
        <v>177</v>
      </c>
      <c r="B6" s="56" t="s">
        <v>185</v>
      </c>
      <c r="C6" s="42" t="s">
        <v>156</v>
      </c>
      <c r="D6" s="42" t="s">
        <v>157</v>
      </c>
      <c r="E6" s="42" t="s">
        <v>158</v>
      </c>
      <c r="F6" s="42" t="s">
        <v>159</v>
      </c>
    </row>
    <row r="7" spans="1:6" x14ac:dyDescent="0.3">
      <c r="A7" s="43" t="s">
        <v>21</v>
      </c>
      <c r="B7" s="44">
        <v>48</v>
      </c>
      <c r="C7" s="45"/>
      <c r="D7" s="45"/>
      <c r="E7" s="45"/>
      <c r="F7" s="45"/>
    </row>
    <row r="8" spans="1:6" x14ac:dyDescent="0.3">
      <c r="A8" s="43" t="s">
        <v>27</v>
      </c>
      <c r="B8" s="47">
        <v>0.15</v>
      </c>
      <c r="C8" s="45"/>
      <c r="D8" s="45"/>
      <c r="E8" s="45"/>
      <c r="F8" s="45"/>
    </row>
    <row r="9" spans="1:6" x14ac:dyDescent="0.3">
      <c r="A9" s="43" t="s">
        <v>31</v>
      </c>
      <c r="B9" s="47">
        <v>0.02</v>
      </c>
      <c r="C9" s="45"/>
      <c r="D9" s="45"/>
      <c r="E9" s="45"/>
      <c r="F9" s="45"/>
    </row>
    <row r="10" spans="1:6" x14ac:dyDescent="0.3">
      <c r="A10" s="43" t="s">
        <v>32</v>
      </c>
      <c r="B10" s="44">
        <v>286000</v>
      </c>
      <c r="C10" s="45"/>
      <c r="D10" s="45"/>
      <c r="E10" s="45"/>
      <c r="F10" s="45"/>
    </row>
    <row r="11" spans="1:6" x14ac:dyDescent="0.3">
      <c r="A11" s="43" t="s">
        <v>33</v>
      </c>
      <c r="B11" s="47">
        <v>7.4999999999999997E-2</v>
      </c>
      <c r="C11" s="45"/>
      <c r="D11" s="45"/>
      <c r="E11" s="45"/>
      <c r="F11" s="45"/>
    </row>
    <row r="12" spans="1:6" x14ac:dyDescent="0.3">
      <c r="A12" s="43" t="s">
        <v>35</v>
      </c>
      <c r="B12" s="48">
        <v>350000</v>
      </c>
      <c r="C12" s="45"/>
      <c r="D12" s="45"/>
      <c r="E12" s="45"/>
      <c r="F12" s="45"/>
    </row>
    <row r="13" spans="1:6" x14ac:dyDescent="0.3">
      <c r="A13" s="43" t="s">
        <v>37</v>
      </c>
      <c r="B13" s="47">
        <v>0.2</v>
      </c>
      <c r="C13" s="45"/>
      <c r="D13" s="45"/>
      <c r="E13" s="45"/>
      <c r="F13" s="45"/>
    </row>
    <row r="14" spans="1:6" x14ac:dyDescent="0.3">
      <c r="A14" s="43" t="s">
        <v>181</v>
      </c>
      <c r="B14" s="49">
        <v>6100000</v>
      </c>
      <c r="C14" s="57">
        <f>Tablo3[[#This Row],[VERİLER]]*(1+B8)</f>
        <v>7014999.9999999991</v>
      </c>
      <c r="D14" s="57">
        <f>Tablo3[[#This Row],[2027]]*(1+B8)</f>
        <v>8067249.9999999981</v>
      </c>
      <c r="E14" s="57">
        <f>Tablo3[[#This Row],[2028]]*(1+B8)</f>
        <v>9277337.4999999963</v>
      </c>
      <c r="F14" s="57">
        <f>Tablo3[[#This Row],[2028]]*(1+B8)</f>
        <v>9277337.4999999963</v>
      </c>
    </row>
    <row r="15" spans="1:6" x14ac:dyDescent="0.3">
      <c r="A15" s="43" t="s">
        <v>178</v>
      </c>
      <c r="B15" s="49">
        <v>5027620</v>
      </c>
      <c r="C15" s="57">
        <f>Tablo3[[#This Row],[VERİLER]]*(1+B8)</f>
        <v>5781763</v>
      </c>
      <c r="D15" s="57">
        <f>Tablo3[[#This Row],[2027]]*(1+B8)</f>
        <v>6649027.4499999993</v>
      </c>
      <c r="E15" s="57">
        <f>Tablo3[[#This Row],[2028]]*(1+B8)</f>
        <v>7646381.567499999</v>
      </c>
      <c r="F15" s="57">
        <f>Tablo3[[#This Row],[2028]]*(1+B8)</f>
        <v>7646381.567499999</v>
      </c>
    </row>
    <row r="16" spans="1:6" x14ac:dyDescent="0.3">
      <c r="A16" s="43" t="s">
        <v>179</v>
      </c>
      <c r="B16" s="49">
        <v>6000000</v>
      </c>
      <c r="C16" s="57">
        <f>Tablo3[[#This Row],[VERİLER]]*(1+B8)</f>
        <v>6899999.9999999991</v>
      </c>
      <c r="D16" s="57">
        <f>Tablo3[[#This Row],[2027]]*(1+B8)</f>
        <v>7934999.9999999981</v>
      </c>
      <c r="E16" s="57">
        <f>Tablo3[[#This Row],[2028]]*(1+B8)</f>
        <v>9125249.9999999963</v>
      </c>
      <c r="F16" s="57">
        <f>Tablo3[[#This Row],[2028]]*(1+B8)</f>
        <v>9125249.9999999963</v>
      </c>
    </row>
    <row r="17" spans="1:7" x14ac:dyDescent="0.3">
      <c r="A17" s="43" t="s">
        <v>180</v>
      </c>
      <c r="B17" s="49">
        <v>5212875</v>
      </c>
      <c r="C17" s="57">
        <f>Tablo3[[#This Row],[VERİLER]]*(1+B8)</f>
        <v>5994806.25</v>
      </c>
      <c r="D17" s="57">
        <f>Tablo3[[#This Row],[2027]]*(1+B8)</f>
        <v>6894027.1874999991</v>
      </c>
      <c r="E17" s="57">
        <f>Tablo3[[#This Row],[2028]]*(1+B8)</f>
        <v>7928131.2656249981</v>
      </c>
      <c r="F17" s="57">
        <f>Tablo3[[#This Row],[2028]]*(1+B8)</f>
        <v>7928131.2656249981</v>
      </c>
    </row>
    <row r="18" spans="1:7" x14ac:dyDescent="0.3">
      <c r="A18" s="43" t="s">
        <v>182</v>
      </c>
      <c r="B18" s="50">
        <v>150000</v>
      </c>
      <c r="C18" s="51">
        <f>B18+(B18*B11)</f>
        <v>161250</v>
      </c>
      <c r="D18" s="51">
        <f>C18+(C18*B11)</f>
        <v>173343.75</v>
      </c>
      <c r="E18" s="51">
        <f>D18+(D18*B11)</f>
        <v>186344.53125</v>
      </c>
      <c r="F18" s="51">
        <f>E18+(E18*B11)</f>
        <v>200320.37109375</v>
      </c>
    </row>
    <row r="19" spans="1:7" x14ac:dyDescent="0.3">
      <c r="A19" s="43" t="s">
        <v>183</v>
      </c>
      <c r="B19" s="50">
        <v>96000</v>
      </c>
      <c r="C19" s="51">
        <f>B19+(B19*B11)</f>
        <v>103200</v>
      </c>
      <c r="D19" s="51">
        <f>C19+(C19*B11)</f>
        <v>110940</v>
      </c>
      <c r="E19" s="51">
        <f>D19+(D19*B11)</f>
        <v>119260.5</v>
      </c>
      <c r="F19" s="51">
        <f>E19+(E19*B11)</f>
        <v>128205.03750000001</v>
      </c>
    </row>
    <row r="20" spans="1:7" x14ac:dyDescent="0.3">
      <c r="A20" s="43" t="s">
        <v>184</v>
      </c>
      <c r="B20" s="50">
        <v>1300000</v>
      </c>
      <c r="C20" s="51">
        <f>B20+(B20*B11)</f>
        <v>1397500</v>
      </c>
      <c r="D20" s="51">
        <f>C20+(C20*B11)</f>
        <v>1502312.5</v>
      </c>
      <c r="E20" s="51">
        <f>D20+(D20*B11)</f>
        <v>1614985.9375</v>
      </c>
      <c r="F20" s="51">
        <f>E20+(E20*B11)</f>
        <v>1736109.8828125</v>
      </c>
    </row>
    <row r="28" spans="1:7" x14ac:dyDescent="0.3">
      <c r="A28" s="63" t="s">
        <v>171</v>
      </c>
      <c r="B28" s="64"/>
      <c r="C28" s="64"/>
      <c r="D28" s="64"/>
      <c r="E28" s="64"/>
      <c r="F28" s="64"/>
      <c r="G28" s="65"/>
    </row>
    <row r="29" spans="1:7" x14ac:dyDescent="0.3">
      <c r="A29" s="3" t="s">
        <v>47</v>
      </c>
      <c r="B29" s="3" t="s">
        <v>48</v>
      </c>
      <c r="C29" s="3" t="s">
        <v>172</v>
      </c>
      <c r="D29" s="3" t="s">
        <v>173</v>
      </c>
      <c r="E29" s="3" t="s">
        <v>174</v>
      </c>
      <c r="F29" s="3" t="s">
        <v>175</v>
      </c>
      <c r="G29" s="45"/>
    </row>
    <row r="30" spans="1:7" x14ac:dyDescent="0.3">
      <c r="A30" s="5"/>
      <c r="B30" s="5" t="s">
        <v>54</v>
      </c>
      <c r="C30" s="55">
        <f>(VarsayimlarHedefli!C18+VarsayimlarHedefli!C19)*0.001</f>
        <v>264.45</v>
      </c>
      <c r="D30" s="55">
        <f>(VarsayimlarHedefli!D18+VarsayimlarHedefli!D19)*0.001</f>
        <v>284.28375</v>
      </c>
      <c r="E30" s="55">
        <f>VarsayimlarHedefli!E20*0.001</f>
        <v>1614.9859375000001</v>
      </c>
      <c r="F30" s="55">
        <f>VarsayimlarHedefli!F20*0.001</f>
        <v>1736.1098828125</v>
      </c>
      <c r="G30" s="45"/>
    </row>
    <row r="31" spans="1:7" x14ac:dyDescent="0.3">
      <c r="A31" s="5"/>
      <c r="B31" s="5" t="s">
        <v>58</v>
      </c>
      <c r="C31" s="55">
        <f>(VarsayimlarHedefli!C18+VarsayimlarHedefli!C19)*0.003</f>
        <v>793.35</v>
      </c>
      <c r="D31" s="55">
        <f>(VarsayimlarHedefli!D18+VarsayimlarHedefli!D19)*0.003</f>
        <v>852.85125000000005</v>
      </c>
      <c r="E31" s="55">
        <f>VarsayimlarHedefli!E20*0.003</f>
        <v>4844.9578124999998</v>
      </c>
      <c r="F31" s="55">
        <f>VarsayimlarHedefli!F20*0.003</f>
        <v>5208.3296484375005</v>
      </c>
      <c r="G31" s="45"/>
    </row>
    <row r="32" spans="1:7" x14ac:dyDescent="0.3">
      <c r="A32" s="5"/>
      <c r="B32" s="5" t="s">
        <v>61</v>
      </c>
      <c r="C32" s="55">
        <f>(VarsayimlarHedefli!C18+VarsayimlarHedefli!C19)*0.0005</f>
        <v>132.22499999999999</v>
      </c>
      <c r="D32" s="55">
        <f>(VarsayimlarHedefli!D18+VarsayimlarHedefli!D19)*0.0005</f>
        <v>142.141875</v>
      </c>
      <c r="E32" s="55">
        <f>VarsayimlarHedefli!E20*0.0005</f>
        <v>807.49296875000005</v>
      </c>
      <c r="F32" s="55">
        <f>VarsayimlarHedefli!F20*0.0005</f>
        <v>868.05494140625001</v>
      </c>
      <c r="G32" s="45"/>
    </row>
    <row r="33" spans="1:7" x14ac:dyDescent="0.3">
      <c r="A33" s="45"/>
      <c r="B33" s="45"/>
      <c r="C33" s="45"/>
      <c r="D33" s="45"/>
      <c r="E33" s="45"/>
      <c r="F33" s="45"/>
      <c r="G33" s="45"/>
    </row>
    <row r="34" spans="1:7" x14ac:dyDescent="0.3">
      <c r="A34" s="45"/>
      <c r="B34" s="45"/>
      <c r="C34" s="45"/>
      <c r="D34" s="45"/>
      <c r="E34" s="45"/>
      <c r="F34" s="45"/>
      <c r="G34" s="45"/>
    </row>
    <row r="35" spans="1:7" x14ac:dyDescent="0.3">
      <c r="A35" s="45"/>
      <c r="B35" s="45"/>
      <c r="C35" s="45"/>
      <c r="D35" s="45"/>
      <c r="E35" s="45"/>
      <c r="F35" s="45"/>
      <c r="G35" s="45"/>
    </row>
    <row r="36" spans="1:7" x14ac:dyDescent="0.3">
      <c r="A36" s="71" t="s">
        <v>186</v>
      </c>
      <c r="B36" s="64"/>
      <c r="C36" s="64"/>
      <c r="D36" s="64"/>
      <c r="E36" s="64"/>
      <c r="F36" s="64"/>
      <c r="G36" s="65"/>
    </row>
    <row r="37" spans="1:7" x14ac:dyDescent="0.3">
      <c r="A37" s="3" t="s">
        <v>47</v>
      </c>
      <c r="B37" s="3" t="s">
        <v>48</v>
      </c>
      <c r="C37" s="3" t="s">
        <v>49</v>
      </c>
      <c r="D37" s="3" t="s">
        <v>50</v>
      </c>
      <c r="E37" s="3" t="s">
        <v>51</v>
      </c>
      <c r="F37" s="3" t="s">
        <v>52</v>
      </c>
      <c r="G37" s="3" t="s">
        <v>53</v>
      </c>
    </row>
    <row r="38" spans="1:7" x14ac:dyDescent="0.3">
      <c r="A38" s="5">
        <v>4</v>
      </c>
      <c r="B38" s="5" t="s">
        <v>54</v>
      </c>
      <c r="C38" s="55">
        <v>280</v>
      </c>
      <c r="D38" s="55">
        <f>Varsayimlar!D25+C30</f>
        <v>1084.45</v>
      </c>
      <c r="E38" s="55">
        <f>Varsayimlar!E25+D30</f>
        <v>2664.2837500000001</v>
      </c>
      <c r="F38" s="55">
        <f>Varsayimlar!F25+E30</f>
        <v>7568.9859374999996</v>
      </c>
      <c r="G38" s="55">
        <f>Varsayimlar!G25+F30</f>
        <v>14736.1098828125</v>
      </c>
    </row>
    <row r="39" spans="1:7" x14ac:dyDescent="0.3">
      <c r="A39" s="5">
        <v>5</v>
      </c>
      <c r="B39" s="5" t="s">
        <v>58</v>
      </c>
      <c r="C39" s="55">
        <v>400</v>
      </c>
      <c r="D39" s="55">
        <f>Varsayimlar!D26+C31</f>
        <v>2093.35</v>
      </c>
      <c r="E39" s="55">
        <f>Varsayimlar!E26+D31</f>
        <v>4822.8512499999997</v>
      </c>
      <c r="F39" s="55">
        <f>Varsayimlar!F26+E31</f>
        <v>13505.957812500001</v>
      </c>
      <c r="G39" s="55">
        <f>Varsayimlar!G26+F31</f>
        <v>21447.329648437502</v>
      </c>
    </row>
    <row r="40" spans="1:7" x14ac:dyDescent="0.3">
      <c r="A40" s="5">
        <v>6</v>
      </c>
      <c r="B40" s="5" t="s">
        <v>61</v>
      </c>
      <c r="C40" s="55">
        <v>140</v>
      </c>
      <c r="D40" s="55">
        <f>Varsayimlar!D27+C32</f>
        <v>565.22500000000002</v>
      </c>
      <c r="E40" s="55">
        <f>Varsayimlar!E27+D32</f>
        <v>1225.141875</v>
      </c>
      <c r="F40" s="55">
        <f>Varsayimlar!F27+E32</f>
        <v>3513.4929687499998</v>
      </c>
      <c r="G40" s="55">
        <f>Varsayimlar!G27+F32</f>
        <v>6281.0549414062498</v>
      </c>
    </row>
  </sheetData>
  <mergeCells count="2">
    <mergeCell ref="A36:G36"/>
    <mergeCell ref="A28:G28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opLeftCell="A44" zoomScaleNormal="100" workbookViewId="0">
      <selection activeCell="G41" sqref="G41"/>
    </sheetView>
  </sheetViews>
  <sheetFormatPr defaultRowHeight="14.4" x14ac:dyDescent="0.3"/>
  <cols>
    <col min="1" max="1" width="70" bestFit="1" customWidth="1"/>
    <col min="2" max="2" width="25.44140625" bestFit="1" customWidth="1"/>
    <col min="3" max="3" width="13.77734375" bestFit="1" customWidth="1"/>
    <col min="4" max="5" width="14.77734375" bestFit="1" customWidth="1"/>
    <col min="6" max="7" width="15.77734375" bestFit="1" customWidth="1"/>
  </cols>
  <sheetData>
    <row r="1" spans="1:7" ht="21" x14ac:dyDescent="0.4">
      <c r="A1" s="59" t="s">
        <v>188</v>
      </c>
    </row>
    <row r="3" spans="1:7" x14ac:dyDescent="0.3">
      <c r="A3" s="3" t="s">
        <v>5</v>
      </c>
      <c r="B3" s="3" t="s">
        <v>7</v>
      </c>
      <c r="C3" s="3" t="s">
        <v>10</v>
      </c>
      <c r="D3" s="3" t="s">
        <v>13</v>
      </c>
      <c r="E3" s="3" t="s">
        <v>15</v>
      </c>
      <c r="F3" s="3" t="s">
        <v>17</v>
      </c>
      <c r="G3" s="3" t="s">
        <v>19</v>
      </c>
    </row>
    <row r="4" spans="1:7" x14ac:dyDescent="0.3">
      <c r="A4" s="66" t="s">
        <v>22</v>
      </c>
      <c r="B4" s="61"/>
      <c r="C4" s="61"/>
      <c r="D4" s="61"/>
      <c r="E4" s="61"/>
      <c r="F4" s="61"/>
      <c r="G4" s="62"/>
    </row>
    <row r="5" spans="1:7" x14ac:dyDescent="0.3">
      <c r="A5" s="6" t="s">
        <v>28</v>
      </c>
      <c r="B5" s="36" t="s">
        <v>29</v>
      </c>
      <c r="C5" s="13">
        <f>INDEX(VarsayimlarHedefli!$C$38:$G$40,VarsayimlarHedefli!$B$4-3,1)</f>
        <v>400</v>
      </c>
      <c r="D5" s="13">
        <f>INDEX(VarsayimlarHedefli!$C$38:$G$40,VarsayimlarHedefli!$B$4-3,2)</f>
        <v>2093.35</v>
      </c>
      <c r="E5" s="13">
        <f>INDEX(VarsayimlarHedefli!$C$38:$G$40,VarsayimlarHedefli!$B$4-3,3)</f>
        <v>4822.8512499999997</v>
      </c>
      <c r="F5" s="13">
        <f>INDEX(VarsayimlarHedefli!$C$38:$G$40,VarsayimlarHedefli!$B$4-3,4)</f>
        <v>13505.957812500001</v>
      </c>
      <c r="G5" s="13">
        <f>INDEX(VarsayimlarHedefli!$C$38:$G$40,VarsayimlarHedefli!$B$4-3,5)</f>
        <v>21447.329648437502</v>
      </c>
    </row>
    <row r="6" spans="1:7" x14ac:dyDescent="0.3">
      <c r="A6" s="6" t="s">
        <v>65</v>
      </c>
      <c r="B6" s="36" t="s">
        <v>66</v>
      </c>
      <c r="C6" s="17">
        <f>Varsayimlar!$B$8</f>
        <v>6100000</v>
      </c>
      <c r="D6" s="17">
        <f>C6*(1+Varsayimlar!$B$9)</f>
        <v>7014999.9999999991</v>
      </c>
      <c r="E6" s="17">
        <f>D6*(1+Varsayimlar!$B$9)</f>
        <v>8067249.9999999981</v>
      </c>
      <c r="F6" s="17">
        <f>E6*(1+Varsayimlar!$B$9)</f>
        <v>9277337.4999999963</v>
      </c>
      <c r="G6" s="17">
        <f>F6*(1+Varsayimlar!$B$9)</f>
        <v>10668938.124999994</v>
      </c>
    </row>
    <row r="7" spans="1:7" x14ac:dyDescent="0.3">
      <c r="A7" s="21" t="s">
        <v>81</v>
      </c>
      <c r="B7" s="22" t="s">
        <v>82</v>
      </c>
      <c r="C7" s="24">
        <f t="shared" ref="C7:G7" si="0">C5*C6</f>
        <v>2440000000</v>
      </c>
      <c r="D7" s="24">
        <f t="shared" si="0"/>
        <v>14684850249.999998</v>
      </c>
      <c r="E7" s="24">
        <f t="shared" si="0"/>
        <v>38907146746.562492</v>
      </c>
      <c r="F7" s="24">
        <f t="shared" si="0"/>
        <v>125299328887.32417</v>
      </c>
      <c r="G7" s="24">
        <f t="shared" si="0"/>
        <v>228820232965.65759</v>
      </c>
    </row>
    <row r="8" spans="1:7" x14ac:dyDescent="0.3">
      <c r="A8" s="66" t="s">
        <v>88</v>
      </c>
      <c r="B8" s="61"/>
      <c r="C8" s="61"/>
      <c r="D8" s="61"/>
      <c r="E8" s="61"/>
      <c r="F8" s="61"/>
      <c r="G8" s="62"/>
    </row>
    <row r="9" spans="1:7" x14ac:dyDescent="0.3">
      <c r="A9" s="6" t="s">
        <v>90</v>
      </c>
      <c r="B9" s="36" t="s">
        <v>91</v>
      </c>
      <c r="C9" s="17">
        <f>C7*Varsayimlar!$B$10</f>
        <v>48800000</v>
      </c>
      <c r="D9" s="17">
        <f>D7*Varsayimlar!$B$10</f>
        <v>293697004.99999994</v>
      </c>
      <c r="E9" s="17">
        <f>E7*Varsayimlar!$B$10</f>
        <v>778142934.93124986</v>
      </c>
      <c r="F9" s="17">
        <f>F7*Varsayimlar!$B$10</f>
        <v>2505986577.7464833</v>
      </c>
      <c r="G9" s="17">
        <f>G7*Varsayimlar!$B$10</f>
        <v>4576404659.3131523</v>
      </c>
    </row>
    <row r="10" spans="1:7" x14ac:dyDescent="0.3">
      <c r="A10" s="6" t="s">
        <v>94</v>
      </c>
      <c r="B10" s="36" t="s">
        <v>167</v>
      </c>
      <c r="C10" s="17">
        <f>C9*0.35</f>
        <v>17080000</v>
      </c>
      <c r="D10" s="17">
        <f>D9*0.35</f>
        <v>102793951.74999997</v>
      </c>
      <c r="E10" s="17">
        <f>E9*0.35</f>
        <v>272350027.22593743</v>
      </c>
      <c r="F10" s="17">
        <f>F9*0.35</f>
        <v>877095302.21126914</v>
      </c>
      <c r="G10" s="17">
        <f>G9*0.35</f>
        <v>1601741630.7596033</v>
      </c>
    </row>
    <row r="11" spans="1:7" x14ac:dyDescent="0.3">
      <c r="A11" s="6" t="s">
        <v>98</v>
      </c>
      <c r="B11" s="36" t="s">
        <v>168</v>
      </c>
      <c r="C11" s="17">
        <f>C9*0.05</f>
        <v>2440000</v>
      </c>
      <c r="D11" s="17">
        <f>D9*0.05</f>
        <v>14684850.249999998</v>
      </c>
      <c r="E11" s="17">
        <f>E9*0.05</f>
        <v>38907146.746562496</v>
      </c>
      <c r="F11" s="17">
        <f>F9*0.05</f>
        <v>125299328.88732417</v>
      </c>
      <c r="G11" s="17">
        <f>G9*0.05</f>
        <v>228820232.96565762</v>
      </c>
    </row>
    <row r="12" spans="1:7" x14ac:dyDescent="0.3">
      <c r="A12" s="6" t="s">
        <v>100</v>
      </c>
      <c r="B12" s="36" t="s">
        <v>169</v>
      </c>
      <c r="C12" s="17">
        <f>C9*0.01</f>
        <v>488000</v>
      </c>
      <c r="D12" s="17">
        <f>D9*0.01</f>
        <v>2936970.0499999993</v>
      </c>
      <c r="E12" s="17">
        <f>E9*0.01</f>
        <v>7781429.3493124992</v>
      </c>
      <c r="F12" s="17">
        <f>F9*0.01</f>
        <v>25059865.777464833</v>
      </c>
      <c r="G12" s="17">
        <f>G9*0.01</f>
        <v>45764046.593131527</v>
      </c>
    </row>
    <row r="13" spans="1:7" x14ac:dyDescent="0.3">
      <c r="A13" s="21" t="s">
        <v>101</v>
      </c>
      <c r="B13" s="22" t="s">
        <v>102</v>
      </c>
      <c r="C13" s="24">
        <f t="shared" ref="C13:G13" si="1">SUM(C9:C12)</f>
        <v>68808000</v>
      </c>
      <c r="D13" s="24">
        <f t="shared" si="1"/>
        <v>414112777.04999989</v>
      </c>
      <c r="E13" s="24">
        <f t="shared" si="1"/>
        <v>1097181538.2530622</v>
      </c>
      <c r="F13" s="24">
        <f t="shared" si="1"/>
        <v>3533441074.6225414</v>
      </c>
      <c r="G13" s="24">
        <f t="shared" si="1"/>
        <v>6452730569.6315441</v>
      </c>
    </row>
    <row r="14" spans="1:7" x14ac:dyDescent="0.3">
      <c r="A14" s="21" t="s">
        <v>103</v>
      </c>
      <c r="B14" s="22" t="s">
        <v>104</v>
      </c>
      <c r="C14" s="31">
        <f>C13/Varsayimlar!$B$7</f>
        <v>1433500</v>
      </c>
      <c r="D14" s="31">
        <f>D13/Varsayimlar!$B$7</f>
        <v>8627349.5218749978</v>
      </c>
      <c r="E14" s="31">
        <f>E13/Varsayimlar!$B$7</f>
        <v>22857948.713605464</v>
      </c>
      <c r="F14" s="31">
        <f>F13/Varsayimlar!$B$7</f>
        <v>73613355.721302941</v>
      </c>
      <c r="G14" s="31">
        <f>G13/Varsayimlar!$B$7</f>
        <v>134431886.86732385</v>
      </c>
    </row>
    <row r="15" spans="1:7" x14ac:dyDescent="0.3">
      <c r="A15" s="66" t="s">
        <v>110</v>
      </c>
      <c r="B15" s="61"/>
      <c r="C15" s="61"/>
      <c r="D15" s="61"/>
      <c r="E15" s="61"/>
      <c r="F15" s="61"/>
      <c r="G15" s="62"/>
    </row>
    <row r="16" spans="1:7" x14ac:dyDescent="0.3">
      <c r="A16" s="6" t="s">
        <v>115</v>
      </c>
      <c r="B16" s="36" t="s">
        <v>116</v>
      </c>
      <c r="C16" s="17">
        <f t="shared" ref="C16:G16" si="2">C9*0.15</f>
        <v>7320000</v>
      </c>
      <c r="D16" s="17">
        <f t="shared" si="2"/>
        <v>44054550.749999993</v>
      </c>
      <c r="E16" s="17">
        <f t="shared" si="2"/>
        <v>116721440.23968747</v>
      </c>
      <c r="F16" s="17">
        <f t="shared" si="2"/>
        <v>375897986.66197246</v>
      </c>
      <c r="G16" s="17">
        <f t="shared" si="2"/>
        <v>686460698.89697278</v>
      </c>
    </row>
    <row r="17" spans="1:7" x14ac:dyDescent="0.3">
      <c r="A17" s="6" t="s">
        <v>118</v>
      </c>
      <c r="B17" s="36" t="s">
        <v>119</v>
      </c>
      <c r="C17" s="17">
        <f>Varsayimlar!$B$13*Varsayimlar!$B$17*Varsayimlar!$B$7</f>
        <v>10080000</v>
      </c>
      <c r="D17" s="17">
        <f t="shared" ref="D17:G17" si="3">D13*0.15</f>
        <v>62116916.557499982</v>
      </c>
      <c r="E17" s="17">
        <f t="shared" si="3"/>
        <v>164577230.73795933</v>
      </c>
      <c r="F17" s="17">
        <f t="shared" si="3"/>
        <v>530016161.19338119</v>
      </c>
      <c r="G17" s="17">
        <f t="shared" si="3"/>
        <v>967909585.44473159</v>
      </c>
    </row>
    <row r="18" spans="1:7" x14ac:dyDescent="0.3">
      <c r="A18" s="6" t="s">
        <v>121</v>
      </c>
      <c r="B18" s="36" t="s">
        <v>122</v>
      </c>
      <c r="C18" s="17">
        <f>Varsayimlar!$B$13*Varsayimlar!$B$19*Varsayimlar!$B$7</f>
        <v>1680000</v>
      </c>
      <c r="D18" s="17">
        <f t="shared" ref="D18:G18" si="4">C18*1.15</f>
        <v>1931999.9999999998</v>
      </c>
      <c r="E18" s="17">
        <f t="shared" si="4"/>
        <v>2221799.9999999995</v>
      </c>
      <c r="F18" s="17">
        <f t="shared" si="4"/>
        <v>2555069.9999999991</v>
      </c>
      <c r="G18" s="17">
        <f t="shared" si="4"/>
        <v>2938330.4999999986</v>
      </c>
    </row>
    <row r="19" spans="1:7" x14ac:dyDescent="0.3">
      <c r="A19" s="6" t="s">
        <v>124</v>
      </c>
      <c r="B19" s="36" t="s">
        <v>125</v>
      </c>
      <c r="C19" s="17">
        <f>Varsayimlar!$B$13*Varsayimlar!$B$18*Varsayimlar!$B$7</f>
        <v>3360000</v>
      </c>
      <c r="D19" s="17">
        <f t="shared" ref="D19:G19" si="5">C19*1.1</f>
        <v>3696000.0000000005</v>
      </c>
      <c r="E19" s="17">
        <f t="shared" si="5"/>
        <v>4065600.0000000009</v>
      </c>
      <c r="F19" s="17">
        <f t="shared" si="5"/>
        <v>4472160.0000000009</v>
      </c>
      <c r="G19" s="17">
        <f t="shared" si="5"/>
        <v>4919376.0000000019</v>
      </c>
    </row>
    <row r="20" spans="1:7" x14ac:dyDescent="0.3">
      <c r="A20" s="6" t="s">
        <v>127</v>
      </c>
      <c r="B20" s="36" t="s">
        <v>128</v>
      </c>
      <c r="C20" s="17">
        <v>2100000</v>
      </c>
      <c r="D20" s="17">
        <v>3840000</v>
      </c>
      <c r="E20" s="17">
        <v>6912000</v>
      </c>
      <c r="F20" s="17">
        <v>12528000</v>
      </c>
      <c r="G20" s="17">
        <v>21000000</v>
      </c>
    </row>
    <row r="21" spans="1:7" x14ac:dyDescent="0.3">
      <c r="A21" s="6" t="s">
        <v>129</v>
      </c>
      <c r="B21" s="36" t="s">
        <v>130</v>
      </c>
      <c r="C21" s="17">
        <f>Varsayimlar!$B$13*Varsayimlar!$B$20*Varsayimlar!$B$7</f>
        <v>1680000</v>
      </c>
      <c r="D21" s="17">
        <f t="shared" ref="D21:G21" si="6">C21*1.1</f>
        <v>1848000.0000000002</v>
      </c>
      <c r="E21" s="17">
        <f t="shared" si="6"/>
        <v>2032800.0000000005</v>
      </c>
      <c r="F21" s="17">
        <f t="shared" si="6"/>
        <v>2236080.0000000005</v>
      </c>
      <c r="G21" s="17">
        <f t="shared" si="6"/>
        <v>2459688.0000000009</v>
      </c>
    </row>
    <row r="22" spans="1:7" x14ac:dyDescent="0.3">
      <c r="A22" s="21" t="s">
        <v>131</v>
      </c>
      <c r="B22" s="22" t="s">
        <v>132</v>
      </c>
      <c r="C22" s="24">
        <f t="shared" ref="C22:G22" si="7">SUM(C16:C21)</f>
        <v>26220000</v>
      </c>
      <c r="D22" s="24">
        <f t="shared" si="7"/>
        <v>117487467.30749997</v>
      </c>
      <c r="E22" s="24">
        <f t="shared" si="7"/>
        <v>296530870.97764683</v>
      </c>
      <c r="F22" s="24">
        <f t="shared" si="7"/>
        <v>927705457.85535359</v>
      </c>
      <c r="G22" s="24">
        <f t="shared" si="7"/>
        <v>1685687678.8417044</v>
      </c>
    </row>
    <row r="23" spans="1:7" x14ac:dyDescent="0.3">
      <c r="A23" s="21" t="s">
        <v>133</v>
      </c>
      <c r="B23" s="22" t="s">
        <v>134</v>
      </c>
      <c r="C23" s="31">
        <f>C22/Varsayimlar!$B$7</f>
        <v>546250</v>
      </c>
      <c r="D23" s="31">
        <f>D22/Varsayimlar!$B$7</f>
        <v>2447655.5689062495</v>
      </c>
      <c r="E23" s="31">
        <f>E22/Varsayimlar!$B$7</f>
        <v>6177726.4787009759</v>
      </c>
      <c r="F23" s="31">
        <f>F22/Varsayimlar!$B$7</f>
        <v>19327197.038653199</v>
      </c>
      <c r="G23" s="31">
        <f>G22/Varsayimlar!$B$7</f>
        <v>35118493.309202172</v>
      </c>
    </row>
    <row r="24" spans="1:7" x14ac:dyDescent="0.3">
      <c r="A24" s="66" t="s">
        <v>135</v>
      </c>
      <c r="B24" s="61"/>
      <c r="C24" s="61"/>
      <c r="D24" s="61"/>
      <c r="E24" s="61"/>
      <c r="F24" s="61"/>
      <c r="G24" s="62"/>
    </row>
    <row r="25" spans="1:7" x14ac:dyDescent="0.3">
      <c r="A25" s="21" t="s">
        <v>136</v>
      </c>
      <c r="B25" s="22" t="s">
        <v>137</v>
      </c>
      <c r="C25" s="24">
        <f t="shared" ref="C25:G25" si="8">C13-C22</f>
        <v>42588000</v>
      </c>
      <c r="D25" s="24">
        <f t="shared" si="8"/>
        <v>296625309.74249995</v>
      </c>
      <c r="E25" s="24">
        <f t="shared" si="8"/>
        <v>800650667.27541542</v>
      </c>
      <c r="F25" s="24">
        <f t="shared" si="8"/>
        <v>2605735616.7671881</v>
      </c>
      <c r="G25" s="24">
        <f t="shared" si="8"/>
        <v>4767042890.7898397</v>
      </c>
    </row>
    <row r="26" spans="1:7" x14ac:dyDescent="0.3">
      <c r="A26" s="21" t="s">
        <v>138</v>
      </c>
      <c r="B26" s="22" t="s">
        <v>139</v>
      </c>
      <c r="C26" s="31">
        <f>C25/Varsayimlar!$B$7</f>
        <v>887250</v>
      </c>
      <c r="D26" s="31">
        <f>D25/Varsayimlar!$B$7</f>
        <v>6179693.9529687492</v>
      </c>
      <c r="E26" s="31">
        <f>E25/Varsayimlar!$B$7</f>
        <v>16680222.234904489</v>
      </c>
      <c r="F26" s="31">
        <f>F25/Varsayimlar!$B$7</f>
        <v>54286158.682649754</v>
      </c>
      <c r="G26" s="31">
        <f>G25/Varsayimlar!$B$7</f>
        <v>99313393.558121666</v>
      </c>
    </row>
    <row r="27" spans="1:7" x14ac:dyDescent="0.3">
      <c r="A27" s="21" t="s">
        <v>140</v>
      </c>
      <c r="B27" s="22" t="s">
        <v>141</v>
      </c>
      <c r="C27" s="37">
        <f t="shared" ref="C27:G27" si="9">IFERROR(C25/C13, 0)</f>
        <v>0.61893965817928143</v>
      </c>
      <c r="D27" s="37">
        <f t="shared" si="9"/>
        <v>0.71629113174328707</v>
      </c>
      <c r="E27" s="37">
        <f t="shared" si="9"/>
        <v>0.72973399511462367</v>
      </c>
      <c r="F27" s="37">
        <f t="shared" si="9"/>
        <v>0.73744985744400582</v>
      </c>
      <c r="G27" s="37">
        <f t="shared" si="9"/>
        <v>0.73876366591609322</v>
      </c>
    </row>
    <row r="28" spans="1:7" x14ac:dyDescent="0.3">
      <c r="A28" s="6" t="s">
        <v>142</v>
      </c>
      <c r="B28" s="36" t="s">
        <v>143</v>
      </c>
      <c r="C28" s="17">
        <f t="shared" ref="C28:G28" si="10">C19/5</f>
        <v>672000</v>
      </c>
      <c r="D28" s="17">
        <f t="shared" si="10"/>
        <v>739200.00000000012</v>
      </c>
      <c r="E28" s="17">
        <f t="shared" si="10"/>
        <v>813120.00000000023</v>
      </c>
      <c r="F28" s="17">
        <f t="shared" si="10"/>
        <v>894432.00000000023</v>
      </c>
      <c r="G28" s="17">
        <f t="shared" si="10"/>
        <v>983875.20000000042</v>
      </c>
    </row>
    <row r="29" spans="1:7" x14ac:dyDescent="0.3">
      <c r="A29" s="6" t="s">
        <v>144</v>
      </c>
      <c r="B29" s="36" t="s">
        <v>145</v>
      </c>
      <c r="C29" s="17">
        <f t="shared" ref="C29:G29" si="11">IF((C25-C28)&gt;0, (C25-C28)*0.2, 0)</f>
        <v>8383200</v>
      </c>
      <c r="D29" s="17">
        <f t="shared" si="11"/>
        <v>59177221.948499992</v>
      </c>
      <c r="E29" s="17">
        <f t="shared" si="11"/>
        <v>159967509.4550831</v>
      </c>
      <c r="F29" s="17">
        <f t="shared" si="11"/>
        <v>520968236.95343763</v>
      </c>
      <c r="G29" s="17">
        <f t="shared" si="11"/>
        <v>953211803.11796808</v>
      </c>
    </row>
    <row r="30" spans="1:7" x14ac:dyDescent="0.3">
      <c r="A30" s="21" t="s">
        <v>146</v>
      </c>
      <c r="B30" s="22" t="s">
        <v>147</v>
      </c>
      <c r="C30" s="24">
        <f t="shared" ref="C30:G30" si="12">C25-C28-C29</f>
        <v>33532800</v>
      </c>
      <c r="D30" s="24">
        <f t="shared" si="12"/>
        <v>236708887.79399997</v>
      </c>
      <c r="E30" s="24">
        <f t="shared" si="12"/>
        <v>639870037.82033229</v>
      </c>
      <c r="F30" s="24">
        <f t="shared" si="12"/>
        <v>2083872947.8137505</v>
      </c>
      <c r="G30" s="24">
        <f t="shared" si="12"/>
        <v>3812847212.4718719</v>
      </c>
    </row>
    <row r="31" spans="1:7" x14ac:dyDescent="0.3">
      <c r="A31" s="21" t="s">
        <v>148</v>
      </c>
      <c r="B31" s="22" t="s">
        <v>149</v>
      </c>
      <c r="C31" s="31">
        <f>C30/Varsayimlar!$B$7</f>
        <v>698600</v>
      </c>
      <c r="D31" s="31">
        <f>D30/Varsayimlar!$B$7</f>
        <v>4931435.1623749994</v>
      </c>
      <c r="E31" s="31">
        <f>E30/Varsayimlar!$B$7</f>
        <v>13330625.787923589</v>
      </c>
      <c r="F31" s="31">
        <f>F30/Varsayimlar!$B$7</f>
        <v>43414019.746119805</v>
      </c>
      <c r="G31" s="31">
        <f>G30/Varsayimlar!$B$7</f>
        <v>79434316.926497325</v>
      </c>
    </row>
    <row r="32" spans="1:7" x14ac:dyDescent="0.3">
      <c r="A32" s="32" t="s">
        <v>150</v>
      </c>
      <c r="B32" s="36" t="s">
        <v>151</v>
      </c>
      <c r="C32" s="26">
        <f t="shared" ref="C32:G32" si="13">IFERROR(C30/C13, 0)</f>
        <v>0.48733868154865712</v>
      </c>
      <c r="D32" s="26">
        <f t="shared" si="13"/>
        <v>0.57160488860120295</v>
      </c>
      <c r="E32" s="26">
        <f t="shared" si="13"/>
        <v>0.58319431699437496</v>
      </c>
      <c r="F32" s="26">
        <f t="shared" si="13"/>
        <v>0.58975737922454519</v>
      </c>
      <c r="G32" s="26">
        <f t="shared" si="13"/>
        <v>0.59088895333957647</v>
      </c>
    </row>
    <row r="41" spans="1:3" ht="21" x14ac:dyDescent="0.4">
      <c r="A41" s="1" t="s">
        <v>24</v>
      </c>
    </row>
    <row r="43" spans="1:3" x14ac:dyDescent="0.3">
      <c r="A43" s="67" t="s">
        <v>26</v>
      </c>
      <c r="B43" s="68"/>
      <c r="C43" s="69"/>
    </row>
    <row r="44" spans="1:3" x14ac:dyDescent="0.3">
      <c r="A44" s="7" t="s">
        <v>30</v>
      </c>
      <c r="B44" s="8">
        <v>10</v>
      </c>
      <c r="C44" s="2" t="s">
        <v>34</v>
      </c>
    </row>
    <row r="45" spans="1:3" x14ac:dyDescent="0.3">
      <c r="A45" s="7" t="s">
        <v>36</v>
      </c>
      <c r="B45" s="15">
        <f>ProjeksiyonlarHedefli!G26</f>
        <v>99313393.558121666</v>
      </c>
    </row>
    <row r="46" spans="1:3" x14ac:dyDescent="0.3">
      <c r="A46" s="16" t="s">
        <v>67</v>
      </c>
      <c r="B46" s="19">
        <f>B44*B45</f>
        <v>993133935.58121669</v>
      </c>
    </row>
    <row r="49" spans="1:7" x14ac:dyDescent="0.3">
      <c r="A49" s="70" t="s">
        <v>189</v>
      </c>
      <c r="B49" s="68"/>
      <c r="C49" s="69"/>
    </row>
    <row r="50" spans="1:7" x14ac:dyDescent="0.3">
      <c r="A50" s="7" t="s">
        <v>35</v>
      </c>
      <c r="B50" s="15">
        <f>Varsayimlar!$B$13</f>
        <v>350000</v>
      </c>
    </row>
    <row r="51" spans="1:7" x14ac:dyDescent="0.3">
      <c r="A51" s="7" t="s">
        <v>86</v>
      </c>
      <c r="B51" s="26">
        <f>Varsayimlar!$B$14</f>
        <v>0.2</v>
      </c>
    </row>
    <row r="52" spans="1:7" x14ac:dyDescent="0.3">
      <c r="A52" s="16" t="s">
        <v>89</v>
      </c>
      <c r="B52" s="19">
        <f>B46*B51</f>
        <v>198626787.11624336</v>
      </c>
    </row>
    <row r="53" spans="1:7" x14ac:dyDescent="0.3">
      <c r="A53" s="16" t="s">
        <v>92</v>
      </c>
      <c r="B53" s="27">
        <f>B52/B50</f>
        <v>567.50510604640965</v>
      </c>
    </row>
    <row r="54" spans="1:7" ht="15" thickBot="1" x14ac:dyDescent="0.35">
      <c r="A54" s="16" t="s">
        <v>93</v>
      </c>
      <c r="B54" s="28">
        <f>(B53)^(1/5)-1</f>
        <v>2.5546263397084119</v>
      </c>
    </row>
    <row r="55" spans="1:7" ht="15" thickTop="1" x14ac:dyDescent="0.3"/>
    <row r="57" spans="1:7" x14ac:dyDescent="0.3">
      <c r="A57" s="67" t="s">
        <v>95</v>
      </c>
      <c r="B57" s="68"/>
      <c r="C57" s="68"/>
      <c r="D57" s="68"/>
      <c r="E57" s="68"/>
      <c r="F57" s="68"/>
      <c r="G57" s="69"/>
    </row>
    <row r="58" spans="1:7" x14ac:dyDescent="0.3">
      <c r="A58" s="3" t="s">
        <v>96</v>
      </c>
      <c r="B58" s="3" t="s">
        <v>97</v>
      </c>
      <c r="C58" s="3" t="s">
        <v>49</v>
      </c>
      <c r="D58" s="3" t="s">
        <v>50</v>
      </c>
      <c r="E58" s="3" t="s">
        <v>51</v>
      </c>
      <c r="F58" s="3" t="s">
        <v>52</v>
      </c>
      <c r="G58" s="3" t="s">
        <v>53</v>
      </c>
    </row>
    <row r="59" spans="1:7" x14ac:dyDescent="0.3">
      <c r="A59" s="7" t="s">
        <v>99</v>
      </c>
      <c r="B59" s="29">
        <f>-B50</f>
        <v>-350000</v>
      </c>
      <c r="C59" s="30">
        <f>ProjeksiyonlarHedefli!C31*Degerleme_ve_Yatirim!$B$12</f>
        <v>139720</v>
      </c>
      <c r="D59" s="30">
        <f>ProjeksiyonlarHedefli!D31*Degerleme_ve_Yatirim!$B$12</f>
        <v>986287.0324749999</v>
      </c>
      <c r="E59" s="30">
        <f>ProjeksiyonlarHedefli!E31*Degerleme_ve_Yatirim!$B$12</f>
        <v>2666125.157584718</v>
      </c>
      <c r="F59" s="30">
        <f>ProjeksiyonlarHedefli!F31*Degerleme_ve_Yatirim!$B$12</f>
        <v>8682803.9492239617</v>
      </c>
      <c r="G59" s="30">
        <f>ProjeksiyonlarHedefli!G31*Degerleme_ve_Yatirim!$B$12</f>
        <v>15886863.385299467</v>
      </c>
    </row>
    <row r="60" spans="1:7" x14ac:dyDescent="0.3">
      <c r="A60" s="16" t="s">
        <v>105</v>
      </c>
      <c r="B60" s="29">
        <f>B59</f>
        <v>-350000</v>
      </c>
      <c r="C60" s="29">
        <f>B60+C59</f>
        <v>-210280</v>
      </c>
      <c r="D60" s="29">
        <f>C60+D59</f>
        <v>776007.0324749999</v>
      </c>
      <c r="E60" s="29">
        <f>D60+E59</f>
        <v>3442132.1900597177</v>
      </c>
      <c r="F60" s="29">
        <f>E60+F59</f>
        <v>12124936.139283679</v>
      </c>
      <c r="G60" s="29">
        <f>F60+G59</f>
        <v>28011799.524583146</v>
      </c>
    </row>
    <row r="61" spans="1:7" x14ac:dyDescent="0.3">
      <c r="A61" s="7" t="s">
        <v>114</v>
      </c>
      <c r="B61" s="36" t="s">
        <v>117</v>
      </c>
      <c r="C61" s="34" t="str">
        <f>IF(AND(B60&lt;0, C60&gt;=0), "Geri Ödeme Sağlandı!", IF(C60&gt;=0, "Kârlı Dönem", "Devam Ediyor"))</f>
        <v>Devam Ediyor</v>
      </c>
      <c r="D61" s="34" t="str">
        <f>IF(AND(C60&lt;0, D60&gt;=0), "Geri Ödeme Sağlandı!", IF(D60&gt;=0, "Kârlı Dönem", "Devam Ediyor"))</f>
        <v>Geri Ödeme Sağlandı!</v>
      </c>
      <c r="E61" s="34" t="str">
        <f>IF(AND(D60&lt;0, E60&gt;=0), "Geri Ödeme Sağlandı!", IF(E60&gt;=0, "Kârlı Dönem", "Devam Ediyor"))</f>
        <v>Kârlı Dönem</v>
      </c>
      <c r="F61" s="34" t="str">
        <f>IF(AND(E60&lt;0, F60&gt;=0), "Geri Ödeme Sağlandı!", IF(F60&gt;=0, "Kârlı Dönem", "Devam Ediyor"))</f>
        <v>Kârlı Dönem</v>
      </c>
      <c r="G61" s="34" t="str">
        <f>IF(AND(F60&lt;0, G60&gt;=0), "Geri Ödeme Sağlandı!", IF(G60&gt;=0, "Kârlı Dönem", "Devam Ediyor"))</f>
        <v>Kârlı Dönem</v>
      </c>
    </row>
  </sheetData>
  <mergeCells count="7">
    <mergeCell ref="A4:G4"/>
    <mergeCell ref="A8:G8"/>
    <mergeCell ref="A15:G15"/>
    <mergeCell ref="A24:G24"/>
    <mergeCell ref="A57:G57"/>
    <mergeCell ref="A43:C43"/>
    <mergeCell ref="A49:C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Icindekiler</vt:lpstr>
      <vt:lpstr>Varsayimlar</vt:lpstr>
      <vt:lpstr>Projeksiyonlar</vt:lpstr>
      <vt:lpstr>Degerleme_ve_Yatirim</vt:lpstr>
      <vt:lpstr>Grafikler</vt:lpstr>
      <vt:lpstr>Kontroller</vt:lpstr>
      <vt:lpstr>VarsayimlarHedefli</vt:lpstr>
      <vt:lpstr>ProjeksiyonlarHedefli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Black Rose</cp:lastModifiedBy>
  <dcterms:created xsi:type="dcterms:W3CDTF">2026-08-12T01:02:16Z</dcterms:created>
  <dcterms:modified xsi:type="dcterms:W3CDTF">2026-09-01T13:35:03Z</dcterms:modified>
</cp:coreProperties>
</file>