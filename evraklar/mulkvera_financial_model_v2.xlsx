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 ve Kullanim Kilavuzu" sheetId="1" state="visible" r:id="rId1"/>
    <sheet xmlns:r="http://schemas.openxmlformats.org/officeDocument/2006/relationships" name="Finans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$TL ]#,##0"/>
    <numFmt numFmtId="165" formatCode="0.0%"/>
    <numFmt numFmtId="166" formatCode="0.0"/>
    <numFmt numFmtId="167" formatCode="$#,##0"/>
    <numFmt numFmtId="168" formatCode="$#,##0;($#,##0);&quot;-&quot;;@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BCD2EE"/>
        <bgColor rgb="00BCD2E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medium">
        <color rgb="001F4E78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0" borderId="1" pivotButton="0" quotePrefix="0" xfId="0"/>
    <xf numFmtId="0" fontId="4" fillId="2" borderId="1" pivotButton="0" quotePrefix="0" xfId="0"/>
    <xf numFmtId="0" fontId="0" fillId="0" borderId="0" applyAlignment="1" pivotButton="0" quotePrefix="0" xfId="0">
      <alignment vertical="top" wrapText="1"/>
    </xf>
    <xf numFmtId="0" fontId="4" fillId="2" borderId="2" applyAlignment="1" pivotButton="0" quotePrefix="0" xfId="0">
      <alignment horizontal="center"/>
    </xf>
    <xf numFmtId="0" fontId="4" fillId="2" borderId="2" applyAlignment="1" pivotButton="0" quotePrefix="0" xfId="0">
      <alignment vertical="top" wrapText="1"/>
    </xf>
    <xf numFmtId="0" fontId="4" fillId="5" borderId="0" pivotButton="0" quotePrefix="0" xfId="0"/>
    <xf numFmtId="2" fontId="0" fillId="3" borderId="0" pivotButton="0" quotePrefix="0" xfId="0"/>
    <xf numFmtId="3" fontId="0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0" fontId="0" fillId="3" borderId="0" pivotButton="0" quotePrefix="0" xfId="0"/>
    <xf numFmtId="3" fontId="2" fillId="4" borderId="0" pivotButton="0" quotePrefix="0" xfId="0"/>
    <xf numFmtId="164" fontId="0" fillId="4" borderId="0" pivotButton="0" quotePrefix="0" xfId="0"/>
    <xf numFmtId="164" fontId="2" fillId="6" borderId="3" pivotButton="0" quotePrefix="0" xfId="0"/>
    <xf numFmtId="167" fontId="0" fillId="4" borderId="0" pivotButton="0" quotePrefix="0" xfId="0"/>
    <xf numFmtId="167" fontId="2" fillId="6" borderId="3" pivotButton="0" quotePrefix="0" xfId="0"/>
    <xf numFmtId="3" fontId="0" fillId="3" borderId="0" pivotButton="0" quotePrefix="0" xfId="0"/>
    <xf numFmtId="167" fontId="0" fillId="3" borderId="0" pivotButton="0" quotePrefix="0" xfId="0"/>
    <xf numFmtId="168" fontId="2" fillId="4" borderId="0" pivotButton="0" quotePrefix="0" xfId="0"/>
    <xf numFmtId="165" fontId="0" fillId="4" borderId="0" pivotButton="0" quotePrefix="0" xfId="0"/>
    <xf numFmtId="168" fontId="0" fillId="4" borderId="0" pivotButton="0" quotePrefix="0" xfId="0"/>
    <xf numFmtId="168" fontId="2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MülkVera - Profesyonel Finansal Projeksiyon Modeli (Yıl 1 - Yıl 5)</t>
        </is>
      </c>
    </row>
    <row r="2"/>
    <row r="3"/>
    <row r="4">
      <c r="A4" s="2" t="inlineStr">
        <is>
          <t>Giriş ve Model Hakkında</t>
        </is>
      </c>
    </row>
    <row r="5">
      <c r="A5" s="3" t="inlineStr">
        <is>
          <t>Bu finansal model, MülkVera (mulkvera.com) gayrimenkul platformunun İstanbul odaklı büyüme ve teşvik modelini simüle etmek üzere TÜİK konut piyasası verileri taban alınarak sıfırdan tasarlanmıştır.</t>
        </is>
      </c>
    </row>
    <row r="6">
      <c r="A6" s="3" t="inlineStr">
        <is>
          <t>Model tamamen dinamiktir; mavi dolgulu hücreler girdileri (varsayımları), yeşil dolgulu hücreler ise formüllere dayalı sonuçları gösterir.</t>
        </is>
      </c>
    </row>
    <row r="7"/>
    <row r="8">
      <c r="A8" s="2" t="inlineStr">
        <is>
          <t>Renk Kodları ve Anlamları</t>
        </is>
      </c>
    </row>
    <row r="9">
      <c r="A9" s="4" t="inlineStr">
        <is>
          <t>Renk</t>
        </is>
      </c>
      <c r="B9" s="4" t="inlineStr">
        <is>
          <t>Açıklama</t>
        </is>
      </c>
      <c r="C9" s="4" t="inlineStr">
        <is>
          <t>Kullanım Amacı</t>
        </is>
      </c>
    </row>
    <row r="10">
      <c r="A10" s="5" t="inlineStr">
        <is>
          <t>Mavi Dolgu</t>
        </is>
      </c>
      <c r="B10" s="6" t="inlineStr">
        <is>
          <t>Girdi / Varsayım Hücresi</t>
        </is>
      </c>
      <c r="C10" s="6" t="inlineStr">
        <is>
          <t>Kullanıcı tarafından serbestçe değiştirilebilir dinamik parametreler.</t>
        </is>
      </c>
    </row>
    <row r="11">
      <c r="A11" s="7" t="inlineStr">
        <is>
          <t>Yeşil Dolgu</t>
        </is>
      </c>
      <c r="B11" s="6" t="inlineStr">
        <is>
          <t>Formül / Projeksiyon Hücresi</t>
        </is>
      </c>
      <c r="C11" s="6" t="inlineStr">
        <is>
          <t>Excel formülleri ile otomatik hesaplanan çıktı ve rasyolar.</t>
        </is>
      </c>
    </row>
    <row r="12">
      <c r="A12" s="8" t="inlineStr">
        <is>
          <t>Zebra / Beyaz</t>
        </is>
      </c>
      <c r="B12" s="6" t="inlineStr">
        <is>
          <t>Sabit Veri / Açıklama</t>
        </is>
      </c>
      <c r="C12" s="6" t="inlineStr">
        <is>
          <t>TÜİK resmi verileri veya açıklama satırları.</t>
        </is>
      </c>
    </row>
    <row r="13">
      <c r="A13" s="9" t="inlineStr">
        <is>
          <t>Koyu Lacivert</t>
        </is>
      </c>
      <c r="B13" s="6" t="inlineStr">
        <is>
          <t>Bölüm Başlıkları</t>
        </is>
      </c>
      <c r="C13" s="6" t="inlineStr">
        <is>
          <t>Modelin yapısal bütünlüğünü sağlayan ana kategoriler.</t>
        </is>
      </c>
    </row>
  </sheetData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50" customWidth="1" min="9" max="9"/>
  </cols>
  <sheetData>
    <row r="1" ht="35" customHeight="1">
      <c r="A1" s="1" t="inlineStr">
        <is>
          <t>MülkVera - Finansal Varsayımlar ve 5 Yıllık Projeksiyonlar (USD / TRY)</t>
        </is>
      </c>
      <c r="I1" s="10" t="n"/>
    </row>
    <row r="2">
      <c r="I2" s="10" t="n"/>
    </row>
    <row r="3" ht="25" customHeight="1">
      <c r="A3" s="11" t="inlineStr">
        <is>
          <t>Kategori</t>
        </is>
      </c>
      <c r="B3" s="11" t="inlineStr">
        <is>
          <t>Finansal Kalem</t>
        </is>
      </c>
      <c r="C3" s="11" t="inlineStr">
        <is>
          <t>Birim</t>
        </is>
      </c>
      <c r="D3" s="11" t="inlineStr">
        <is>
          <t>Yıl 1 (2026)</t>
        </is>
      </c>
      <c r="E3" s="11" t="inlineStr">
        <is>
          <t>Yıl 2 (2027)</t>
        </is>
      </c>
      <c r="F3" s="11" t="inlineStr">
        <is>
          <t>Yıl 3 (2028)</t>
        </is>
      </c>
      <c r="G3" s="11" t="inlineStr">
        <is>
          <t>Yıl 4 (2029)</t>
        </is>
      </c>
      <c r="H3" s="11" t="inlineStr">
        <is>
          <t>Yıl 5 (2030)</t>
        </is>
      </c>
      <c r="I3" s="12" t="inlineStr">
        <is>
          <t>Açıklama / TÜİK Tabanlı Varsayım</t>
        </is>
      </c>
    </row>
    <row r="4" ht="20" customHeight="1">
      <c r="A4" s="13" t="inlineStr">
        <is>
          <t>1. MAKROEKONOMİK VE PAZAR BÜYÜKLÜĞÜ VARSAYIMLARI</t>
        </is>
      </c>
      <c r="I4" s="10" t="n"/>
    </row>
    <row r="5">
      <c r="A5" t="inlineStr">
        <is>
          <t>Makroekonomik</t>
        </is>
      </c>
      <c r="B5" t="inlineStr">
        <is>
          <t>Döviz Kuru (USD/TRY)</t>
        </is>
      </c>
      <c r="C5" t="inlineStr">
        <is>
          <t>TL</t>
        </is>
      </c>
      <c r="D5" s="14" t="n">
        <v>34</v>
      </c>
      <c r="E5" s="14" t="n">
        <v>34</v>
      </c>
      <c r="F5" s="14" t="n">
        <v>34</v>
      </c>
      <c r="G5" s="14" t="n">
        <v>34</v>
      </c>
      <c r="H5" s="14" t="n">
        <v>34</v>
      </c>
      <c r="I5" s="10" t="inlineStr">
        <is>
          <t>Yatırımcıya kur farkı yansıtmamak için sabit 34 TL/USD kabul edilmiştir.</t>
        </is>
      </c>
    </row>
    <row r="6">
      <c r="A6" t="inlineStr">
        <is>
          <t>TÜİK Pazar Verisi</t>
        </is>
      </c>
      <c r="B6" t="inlineStr">
        <is>
          <t>İstanbul Yıllık Konut Satış Hacmi</t>
        </is>
      </c>
      <c r="C6" t="inlineStr">
        <is>
          <t>adet</t>
        </is>
      </c>
      <c r="D6" s="15" t="n">
        <v>264926</v>
      </c>
      <c r="E6" s="15" t="n">
        <v>268243</v>
      </c>
      <c r="F6" s="15" t="n">
        <v>272203</v>
      </c>
      <c r="G6" s="15" t="n">
        <v>276832</v>
      </c>
      <c r="H6" s="15" t="n">
        <v>282369</v>
      </c>
      <c r="I6" s="10" t="inlineStr">
        <is>
          <t>TÜİK resmi İstanbul konut satış verisi ve uzun dönem %2 yıllık büyüme projeksiyonu.</t>
        </is>
      </c>
    </row>
    <row r="7">
      <c r="A7" t="inlineStr">
        <is>
          <t>TÜİK/BETAM Pazar</t>
        </is>
      </c>
      <c r="B7" t="inlineStr">
        <is>
          <t>İstanbul Yıllık Konut Kiralama Hacmi</t>
        </is>
      </c>
      <c r="C7" t="inlineStr">
        <is>
          <t>adet</t>
        </is>
      </c>
      <c r="D7" s="15" t="n">
        <v>170046</v>
      </c>
      <c r="E7" s="15" t="n">
        <v>175831</v>
      </c>
      <c r="F7" s="15" t="n">
        <v>181074</v>
      </c>
      <c r="G7" s="15" t="n">
        <v>185711</v>
      </c>
      <c r="H7" s="15" t="n">
        <v>189425</v>
      </c>
      <c r="I7" s="10" t="inlineStr">
        <is>
          <t>Sahibindex/BETAM İstanbul platform kiralama hacmi proxy verileri.</t>
        </is>
      </c>
    </row>
    <row r="8">
      <c r="I8" s="10" t="n"/>
    </row>
    <row r="9" ht="20" customHeight="1">
      <c r="A9" s="13" t="inlineStr">
        <is>
          <t>2. ORTALAMA FİYAT VE KOMİSYON VARSAYIMLARI</t>
        </is>
      </c>
      <c r="I9" s="10" t="n"/>
    </row>
    <row r="10">
      <c r="A10" t="inlineStr">
        <is>
          <t>Fiyatlama</t>
        </is>
      </c>
      <c r="B10" t="inlineStr">
        <is>
          <t>İstanbul Ortalama Konut Satış Fiyatı</t>
        </is>
      </c>
      <c r="C10" t="inlineStr">
        <is>
          <t>TL</t>
        </is>
      </c>
      <c r="D10" s="16" t="n">
        <v>7158580</v>
      </c>
      <c r="E10" s="16" t="n">
        <v>8232367</v>
      </c>
      <c r="F10" s="16" t="n">
        <v>8973280</v>
      </c>
      <c r="G10" s="16" t="n">
        <v>9511677</v>
      </c>
      <c r="H10" s="16" t="n">
        <v>9987261</v>
      </c>
      <c r="I10" s="10" t="inlineStr">
        <is>
          <t>Endeksa/Emlakjet İstanbul ortalama konut satış fiyatı gerçekleşen ve tahminleri.</t>
        </is>
      </c>
    </row>
    <row r="11">
      <c r="A11" t="inlineStr">
        <is>
          <t>Fiyatlama</t>
        </is>
      </c>
      <c r="B11" t="inlineStr">
        <is>
          <t>İstanbul Ortalama Aylık Kira Bedeli</t>
        </is>
      </c>
      <c r="C11" t="inlineStr">
        <is>
          <t>TL/ay</t>
        </is>
      </c>
      <c r="D11" s="16" t="n">
        <v>44612</v>
      </c>
      <c r="E11" s="16" t="n">
        <v>51304</v>
      </c>
      <c r="F11" s="16" t="n">
        <v>55921</v>
      </c>
      <c r="G11" s="16" t="n">
        <v>59276</v>
      </c>
      <c r="H11" s="16" t="n">
        <v>62240</v>
      </c>
      <c r="I11" s="10" t="inlineStr">
        <is>
          <t>Endeksa/Emlakjet İstanbul ortalama kiralık konut fiyatı gerçekleşen ve tahminleri.</t>
        </is>
      </c>
    </row>
    <row r="12">
      <c r="A12" t="inlineStr">
        <is>
          <t>Komisyon</t>
        </is>
      </c>
      <c r="B12" t="inlineStr">
        <is>
          <t>MülkVera Alıcı Satış Komisyonu</t>
        </is>
      </c>
      <c r="C12" t="inlineStr">
        <is>
          <t>%</t>
        </is>
      </c>
      <c r="D12" s="17" t="n">
        <v>0.02</v>
      </c>
      <c r="E12" s="17" t="n">
        <v>0.02</v>
      </c>
      <c r="F12" s="17" t="n">
        <v>0.02</v>
      </c>
      <c r="G12" s="17" t="n">
        <v>0.02</v>
      </c>
      <c r="H12" s="17" t="n">
        <v>0.02</v>
      </c>
      <c r="I12" s="10" t="inlineStr">
        <is>
          <t>Şeffaf tek taraflı komisyon politikamız (Satıcıdan %0, Alıcıdan %2).</t>
        </is>
      </c>
    </row>
    <row r="13">
      <c r="A13" t="inlineStr">
        <is>
          <t>Komisyon</t>
        </is>
      </c>
      <c r="B13" t="inlineStr">
        <is>
          <t>MülkVera Kiracı Kira Komisyonu</t>
        </is>
      </c>
      <c r="C13" t="inlineStr">
        <is>
          <t>ay</t>
        </is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0" t="inlineStr">
        <is>
          <t>Kiralama işlemlerinde mevzuata uygun olarak sadece kiracıdan 1 aylık kira bedeli komisyon alınır.</t>
        </is>
      </c>
    </row>
    <row r="14">
      <c r="I14" s="10" t="n"/>
    </row>
    <row r="15" ht="20" customHeight="1">
      <c r="A15" s="13" t="inlineStr">
        <is>
          <t>3. MÜLKVERA HEDEF PAZAR PAYI VE TRANSAKSİYON ADETLERİ</t>
        </is>
      </c>
      <c r="I15" s="10" t="n"/>
    </row>
    <row r="16">
      <c r="A16" t="inlineStr">
        <is>
          <t>Hedef</t>
        </is>
      </c>
      <c r="B16" t="inlineStr">
        <is>
          <t>Hedeflenen Satış Pazar Payı</t>
        </is>
      </c>
      <c r="C16" t="inlineStr">
        <is>
          <t>%</t>
        </is>
      </c>
      <c r="D16" s="19" t="n">
        <v>0.001</v>
      </c>
      <c r="E16" s="19" t="n">
        <v>0.0025</v>
      </c>
      <c r="F16" s="19" t="n">
        <v>0.006</v>
      </c>
      <c r="G16" s="19" t="n">
        <v>0.012</v>
      </c>
      <c r="H16" s="19" t="n">
        <v>0.025</v>
      </c>
      <c r="I16" s="10" t="inlineStr">
        <is>
          <t>1. Yıl İstanbul genelinde %0.1 pazar payı ile başlayıp muhafazakar büyüme patikası.</t>
        </is>
      </c>
    </row>
    <row r="17">
      <c r="A17" t="inlineStr">
        <is>
          <t>Hesaplanan</t>
        </is>
      </c>
      <c r="B17" t="inlineStr">
        <is>
          <t>Hedeflenen Satış İşlem Adedi</t>
        </is>
      </c>
      <c r="C17" t="inlineStr">
        <is>
          <t>adet</t>
        </is>
      </c>
      <c r="D17" s="20">
        <f>ROUND(D6*D16, 0)</f>
        <v/>
      </c>
      <c r="E17" s="20">
        <f>ROUND(E6*E16, 0)</f>
        <v/>
      </c>
      <c r="F17" s="20">
        <f>ROUND(F6*F16, 0)</f>
        <v/>
      </c>
      <c r="G17" s="20">
        <f>ROUND(G6*G16, 0)</f>
        <v/>
      </c>
      <c r="H17" s="20">
        <f>ROUND(H6*H16, 0)</f>
        <v/>
      </c>
      <c r="I17" s="10" t="inlineStr">
        <is>
          <t>TÜİK İstanbul pazar payı hedefimize göre yıllık gerçekleşecek ev satış adedi.</t>
        </is>
      </c>
    </row>
    <row r="18">
      <c r="A18" t="inlineStr">
        <is>
          <t>Hedef</t>
        </is>
      </c>
      <c r="B18" t="inlineStr">
        <is>
          <t>Hedeflenen Kiralama Pazar Payı</t>
        </is>
      </c>
      <c r="C18" t="inlineStr">
        <is>
          <t>%</t>
        </is>
      </c>
      <c r="D18" s="19" t="n">
        <v>0.001</v>
      </c>
      <c r="E18" s="19" t="n">
        <v>0.0025</v>
      </c>
      <c r="F18" s="19" t="n">
        <v>0.006</v>
      </c>
      <c r="G18" s="19" t="n">
        <v>0.012</v>
      </c>
      <c r="H18" s="19" t="n">
        <v>0.025</v>
      </c>
      <c r="I18" s="10" t="inlineStr">
        <is>
          <t>İstanbul kiralama pazar payı hedefleri (satışla paralel kurgulanmıştır).</t>
        </is>
      </c>
    </row>
    <row r="19">
      <c r="A19" t="inlineStr">
        <is>
          <t>Hesaplanan</t>
        </is>
      </c>
      <c r="B19" t="inlineStr">
        <is>
          <t>Hedeflenen Kiralama İşlem Adedi</t>
        </is>
      </c>
      <c r="C19" t="inlineStr">
        <is>
          <t>adet</t>
        </is>
      </c>
      <c r="D19" s="20">
        <f>ROUND(D7*D18, 0)</f>
        <v/>
      </c>
      <c r="E19" s="20">
        <f>ROUND(E7*E18, 0)</f>
        <v/>
      </c>
      <c r="F19" s="20">
        <f>ROUND(F7*F18, 0)</f>
        <v/>
      </c>
      <c r="G19" s="20">
        <f>ROUND(G7*G18, 0)</f>
        <v/>
      </c>
      <c r="H19" s="20">
        <f>ROUND(H7*H18, 0)</f>
        <v/>
      </c>
      <c r="I19" s="10" t="inlineStr">
        <is>
          <t>Pazar payına bağlı olarak MülkVera platformunda gerçekleştirilecek kiralama adedi.</t>
        </is>
      </c>
    </row>
    <row r="20">
      <c r="I20" s="10" t="n"/>
    </row>
    <row r="21" ht="20" customHeight="1">
      <c r="A21" s="13" t="inlineStr">
        <is>
          <t>4. GELİR PROJEKSİYONLARI (TL &amp; USD)</t>
        </is>
      </c>
      <c r="I21" s="10" t="n"/>
    </row>
    <row r="22">
      <c r="A22" t="inlineStr">
        <is>
          <t>Gelir (TL)</t>
        </is>
      </c>
      <c r="B22" t="inlineStr">
        <is>
          <t>Konut Satış Komisyon Gelirleri (TL)</t>
        </is>
      </c>
      <c r="C22" t="inlineStr">
        <is>
          <t>TL</t>
        </is>
      </c>
      <c r="D22" s="21">
        <f>D17*D10*D12</f>
        <v/>
      </c>
      <c r="E22" s="21">
        <f>E17*E10*E12</f>
        <v/>
      </c>
      <c r="F22" s="21">
        <f>F17*F10*F12</f>
        <v/>
      </c>
      <c r="G22" s="21">
        <f>G17*G10*G12</f>
        <v/>
      </c>
      <c r="H22" s="21">
        <f>H17*H10*H12</f>
        <v/>
      </c>
      <c r="I22" s="10" t="inlineStr">
        <is>
          <t>Yıllık gerçekleşen konut satış adedi x ortalama konut fiyatı x %2 komisyon.</t>
        </is>
      </c>
    </row>
    <row r="23">
      <c r="A23" t="inlineStr">
        <is>
          <t>Gelir (TL)</t>
        </is>
      </c>
      <c r="B23" t="inlineStr">
        <is>
          <t>Konut Kiralama Komisyon Gelirleri (TL)</t>
        </is>
      </c>
      <c r="C23" t="inlineStr">
        <is>
          <t>TL</t>
        </is>
      </c>
      <c r="D23" s="21">
        <f>D19*D11*D13</f>
        <v/>
      </c>
      <c r="E23" s="21">
        <f>E19*E11*E13</f>
        <v/>
      </c>
      <c r="F23" s="21">
        <f>F19*F11*F13</f>
        <v/>
      </c>
      <c r="G23" s="21">
        <f>G19*G11*G13</f>
        <v/>
      </c>
      <c r="H23" s="21">
        <f>H19*H11*H13</f>
        <v/>
      </c>
      <c r="I23" s="10" t="inlineStr">
        <is>
          <t>Yıllık gerçekleşen kiralama adedi x ortalama aylık kira bedeli x 1 ay komisyon.</t>
        </is>
      </c>
    </row>
    <row r="24">
      <c r="A24" t="inlineStr">
        <is>
          <t>Gelir (TL)</t>
        </is>
      </c>
      <c r="B24" t="inlineStr">
        <is>
          <t>TOPLAM PLATFORM GELİRLERİ (TL)</t>
        </is>
      </c>
      <c r="C24" t="inlineStr">
        <is>
          <t>TL</t>
        </is>
      </c>
      <c r="D24" s="22">
        <f>SUM(D22:D23)</f>
        <v/>
      </c>
      <c r="E24" s="22">
        <f>SUM(E22:E23)</f>
        <v/>
      </c>
      <c r="F24" s="22">
        <f>SUM(F22:F23)</f>
        <v/>
      </c>
      <c r="G24" s="22">
        <f>SUM(G22:G23)</f>
        <v/>
      </c>
      <c r="H24" s="22">
        <f>SUM(H22:H23)</f>
        <v/>
      </c>
      <c r="I24" s="10" t="inlineStr">
        <is>
          <t>Toplam Satış ve Kiralama komisyonu gelirleri toplamı.</t>
        </is>
      </c>
    </row>
    <row r="25">
      <c r="I25" s="10" t="n"/>
    </row>
    <row r="26">
      <c r="A26" t="inlineStr">
        <is>
          <t>Gelir (USD)</t>
        </is>
      </c>
      <c r="B26" t="inlineStr">
        <is>
          <t>Konut Satış Komisyon Gelirleri (USD)</t>
        </is>
      </c>
      <c r="C26" t="inlineStr">
        <is>
          <t>USD</t>
        </is>
      </c>
      <c r="D26" s="23">
        <f>D22/D5</f>
        <v/>
      </c>
      <c r="E26" s="23">
        <f>E22/E5</f>
        <v/>
      </c>
      <c r="F26" s="23">
        <f>F22/F5</f>
        <v/>
      </c>
      <c r="G26" s="23">
        <f>G22/G5</f>
        <v/>
      </c>
      <c r="H26" s="23">
        <f>H22/H5</f>
        <v/>
      </c>
      <c r="I26" s="10" t="inlineStr">
        <is>
          <t>Konut satış komisyon gelirlerinin USD karşılığı.</t>
        </is>
      </c>
    </row>
    <row r="27">
      <c r="A27" t="inlineStr">
        <is>
          <t>Gelir (USD)</t>
        </is>
      </c>
      <c r="B27" t="inlineStr">
        <is>
          <t>Konut Kiralama Komisyon Gelirleri (USD)</t>
        </is>
      </c>
      <c r="C27" t="inlineStr">
        <is>
          <t>USD</t>
        </is>
      </c>
      <c r="D27" s="23">
        <f>D23/D5</f>
        <v/>
      </c>
      <c r="E27" s="23">
        <f>E23/E5</f>
        <v/>
      </c>
      <c r="F27" s="23">
        <f>F23/F5</f>
        <v/>
      </c>
      <c r="G27" s="23">
        <f>G23/G5</f>
        <v/>
      </c>
      <c r="H27" s="23">
        <f>H23/H5</f>
        <v/>
      </c>
      <c r="I27" s="10" t="inlineStr">
        <is>
          <t>Kiralama gelirlerinin USD karşılığı.</t>
        </is>
      </c>
    </row>
    <row r="28">
      <c r="A28" t="inlineStr">
        <is>
          <t>Gelir (USD)</t>
        </is>
      </c>
      <c r="B28" t="inlineStr">
        <is>
          <t>TOPLAM PLATFORM GELİRLERİ (USD)</t>
        </is>
      </c>
      <c r="C28" t="inlineStr">
        <is>
          <t>USD</t>
        </is>
      </c>
      <c r="D28" s="24">
        <f>SUM(D26:D27)</f>
        <v/>
      </c>
      <c r="E28" s="24">
        <f>SUM(E26:E27)</f>
        <v/>
      </c>
      <c r="F28" s="24">
        <f>SUM(F26:F27)</f>
        <v/>
      </c>
      <c r="G28" s="24">
        <f>SUM(G26:G27)</f>
        <v/>
      </c>
      <c r="H28" s="24">
        <f>SUM(H26:H27)</f>
        <v/>
      </c>
      <c r="I28" s="10" t="inlineStr">
        <is>
          <t>Döviz bazlı toplam yıllık gelir.</t>
        </is>
      </c>
    </row>
    <row r="29">
      <c r="I29" s="10" t="n"/>
    </row>
    <row r="30" ht="20" customHeight="1">
      <c r="A30" s="13" t="inlineStr">
        <is>
          <t>5. OPERASYONEL GİDERLER (OPEX) (USD ODAKLI)</t>
        </is>
      </c>
      <c r="I30" s="10" t="n"/>
    </row>
    <row r="31">
      <c r="A31" t="inlineStr">
        <is>
          <t>İstihdam</t>
        </is>
      </c>
      <c r="B31" t="inlineStr">
        <is>
          <t>Toplam Çalışan Personel Sayısı</t>
        </is>
      </c>
      <c r="C31" t="inlineStr">
        <is>
          <t>kişi</t>
        </is>
      </c>
      <c r="D31" s="25" t="n">
        <v>10</v>
      </c>
      <c r="E31" s="25" t="n">
        <v>15</v>
      </c>
      <c r="F31" s="25" t="n">
        <v>25</v>
      </c>
      <c r="G31" s="25" t="n">
        <v>35</v>
      </c>
      <c r="H31" s="25" t="n">
        <v>50</v>
      </c>
      <c r="I31" s="10" t="inlineStr">
        <is>
          <t>Saha, teknik, pazarlama ve idari ekipten oluşan çekirdek kadro büyüme patikası.</t>
        </is>
      </c>
    </row>
    <row r="32">
      <c r="A32" t="inlineStr">
        <is>
          <t>İstihdam</t>
        </is>
      </c>
      <c r="B32" t="inlineStr">
        <is>
          <t>Ortalama Çalışan Aylık Brüt Maliyeti (USD)</t>
        </is>
      </c>
      <c r="C32" t="inlineStr">
        <is>
          <t>USD</t>
        </is>
      </c>
      <c r="D32" s="26" t="n">
        <v>1500</v>
      </c>
      <c r="E32" s="26" t="n">
        <v>1500</v>
      </c>
      <c r="F32" s="26" t="n">
        <v>1500</v>
      </c>
      <c r="G32" s="26" t="n">
        <v>1500</v>
      </c>
      <c r="H32" s="26" t="n">
        <v>1500</v>
      </c>
      <c r="I32" s="10" t="inlineStr">
        <is>
          <t>Personel başına aylık SGK, vergi ve brüt maaş dahil ortalama maliyet.</t>
        </is>
      </c>
    </row>
    <row r="33">
      <c r="A33" t="inlineStr">
        <is>
          <t>OPEX Giderleri</t>
        </is>
      </c>
      <c r="B33" t="inlineStr">
        <is>
          <t>Toplam Personel Giderleri (USD)</t>
        </is>
      </c>
      <c r="C33" t="inlineStr">
        <is>
          <t>USD</t>
        </is>
      </c>
      <c r="D33" s="23">
        <f>D31*D32*12</f>
        <v/>
      </c>
      <c r="E33" s="23">
        <f>E31*E32*12</f>
        <v/>
      </c>
      <c r="F33" s="23">
        <f>F31*F32*12</f>
        <v/>
      </c>
      <c r="G33" s="23">
        <f>G31*G32*12</f>
        <v/>
      </c>
      <c r="H33" s="23">
        <f>H31*H32*12</f>
        <v/>
      </c>
      <c r="I33" s="10" t="inlineStr">
        <is>
          <t>Toplam personelin yıllık brüt kurumsal gider maliyeti.</t>
        </is>
      </c>
    </row>
    <row r="34">
      <c r="A34" t="inlineStr">
        <is>
          <t>OPEX Giderleri</t>
        </is>
      </c>
      <c r="B34" t="inlineStr">
        <is>
          <t>Yazılım, Bulut Altyapısı ve Sunucu Giderleri</t>
        </is>
      </c>
      <c r="C34" t="inlineStr">
        <is>
          <t>USD</t>
        </is>
      </c>
      <c r="D34" s="26" t="n">
        <v>12000</v>
      </c>
      <c r="E34" s="26" t="n">
        <v>18000</v>
      </c>
      <c r="F34" s="26" t="n">
        <v>30000</v>
      </c>
      <c r="G34" s="26" t="n">
        <v>50000</v>
      </c>
      <c r="H34" s="26" t="n">
        <v>80000</v>
      </c>
      <c r="I34" s="10" t="inlineStr">
        <is>
          <t>AWS/Google Cloud barındırma, veritabanı, CRM ve 3D sanal tur API API lisans ücretleri.</t>
        </is>
      </c>
    </row>
    <row r="35">
      <c r="A35" t="inlineStr">
        <is>
          <t>OPEX Giderleri</t>
        </is>
      </c>
      <c r="B35" t="inlineStr">
        <is>
          <t>Donanım ve Ekipman Giderleri (Capex-Opex)</t>
        </is>
      </c>
      <c r="C35" t="inlineStr">
        <is>
          <t>USD</t>
        </is>
      </c>
      <c r="D35" s="26" t="n">
        <v>20000</v>
      </c>
      <c r="E35" s="26" t="n">
        <v>10000</v>
      </c>
      <c r="F35" s="26" t="n">
        <v>15000</v>
      </c>
      <c r="G35" s="26" t="n">
        <v>20000</v>
      </c>
      <c r="H35" s="26" t="n">
        <v>25000</v>
      </c>
      <c r="I35" s="10" t="inlineStr">
        <is>
          <t>3D tarayıcı kameraları, VR ekipmanları ve saha ekibi bilgisayarları.</t>
        </is>
      </c>
    </row>
    <row r="36">
      <c r="A36" t="inlineStr">
        <is>
          <t>OPEX Giderleri</t>
        </is>
      </c>
      <c r="B36" t="inlineStr">
        <is>
          <t>Pazarlama, Reklam ve Teşvik Giderleri</t>
        </is>
      </c>
      <c r="C36" t="inlineStr">
        <is>
          <t>USD</t>
        </is>
      </c>
      <c r="D36" s="26" t="n">
        <v>150000</v>
      </c>
      <c r="E36" s="26" t="n">
        <v>250000</v>
      </c>
      <c r="F36" s="26" t="n">
        <v>400000</v>
      </c>
      <c r="G36" s="26" t="n">
        <v>700000</v>
      </c>
      <c r="H36" s="26" t="n">
        <v>1200000</v>
      </c>
      <c r="I36" s="10" t="inlineStr">
        <is>
          <t>Google/Meta reklamları, SEO, ve 'Ev Getir, Komisyon Kazan' viral tavsiye programı teşvik ödemeleri.</t>
        </is>
      </c>
    </row>
    <row r="37">
      <c r="A37" t="inlineStr">
        <is>
          <t>OPEX Giderleri</t>
        </is>
      </c>
      <c r="B37" t="inlineStr">
        <is>
          <t>Genel Yönetim, Ofis, Hukuk ve Muhasebe Giderleri</t>
        </is>
      </c>
      <c r="C37" t="inlineStr">
        <is>
          <t>USD</t>
        </is>
      </c>
      <c r="D37" s="26" t="n">
        <v>24000</v>
      </c>
      <c r="E37" s="26" t="n">
        <v>30000</v>
      </c>
      <c r="F37" s="26" t="n">
        <v>45000</v>
      </c>
      <c r="G37" s="26" t="n">
        <v>60000</v>
      </c>
      <c r="H37" s="26" t="n">
        <v>90000</v>
      </c>
      <c r="I37" s="10" t="inlineStr">
        <is>
          <t>Coworking ofis kirası, idari giderler, tapu sözleşmeleri hukuki danışmanlık bütçeleri.</t>
        </is>
      </c>
    </row>
    <row r="38">
      <c r="A38" t="inlineStr">
        <is>
          <t>OPEX Giderleri</t>
        </is>
      </c>
      <c r="B38" t="inlineStr">
        <is>
          <t>TOPLAM OPERASYONEL GİDERLER (USD)</t>
        </is>
      </c>
      <c r="C38" t="inlineStr">
        <is>
          <t>USD</t>
        </is>
      </c>
      <c r="D38" s="24">
        <f>SUM(D33:D37)</f>
        <v/>
      </c>
      <c r="E38" s="24">
        <f>SUM(E33:E37)</f>
        <v/>
      </c>
      <c r="F38" s="24">
        <f>SUM(F33:F37)</f>
        <v/>
      </c>
      <c r="G38" s="24">
        <f>SUM(G33:G37)</f>
        <v/>
      </c>
      <c r="H38" s="24">
        <f>SUM(H33:H37)</f>
        <v/>
      </c>
      <c r="I38" s="10" t="inlineStr">
        <is>
          <t>Toplam yıllık USD bazlı operasyonel bütçe yükümlülüğü.</t>
        </is>
      </c>
    </row>
    <row r="39">
      <c r="I39" s="10" t="n"/>
    </row>
    <row r="40" ht="20" customHeight="1">
      <c r="A40" s="13" t="inlineStr">
        <is>
          <t>6. KÂRLILIK VE YATIRIMCI GERİ DÖNÜŞ GÖSTERGELERİ</t>
        </is>
      </c>
      <c r="I40" s="10" t="n"/>
    </row>
    <row r="41">
      <c r="A41" t="inlineStr">
        <is>
          <t>Kârlılık</t>
        </is>
      </c>
      <c r="B41" t="inlineStr">
        <is>
          <t>FAVÖK (EBITDA) (USD)</t>
        </is>
      </c>
      <c r="C41" t="inlineStr">
        <is>
          <t>USD</t>
        </is>
      </c>
      <c r="D41" s="27">
        <f>D28-D38</f>
        <v/>
      </c>
      <c r="E41" s="27">
        <f>E28-E38</f>
        <v/>
      </c>
      <c r="F41" s="27">
        <f>F28-F38</f>
        <v/>
      </c>
      <c r="G41" s="27">
        <f>G28-G38</f>
        <v/>
      </c>
      <c r="H41" s="27">
        <f>H28-H38</f>
        <v/>
      </c>
      <c r="I41" s="10" t="inlineStr">
        <is>
          <t>Faiz, Amortisman ve Vergi Öncesi Kâr (Faaliyet Kârlılığı).</t>
        </is>
      </c>
    </row>
    <row r="42">
      <c r="A42" t="inlineStr">
        <is>
          <t>Kârlılık</t>
        </is>
      </c>
      <c r="B42" t="inlineStr">
        <is>
          <t>FAVÖK (EBITDA) Marjı</t>
        </is>
      </c>
      <c r="C42" t="inlineStr">
        <is>
          <t>%</t>
        </is>
      </c>
      <c r="D42" s="28">
        <f>IFERROR(D41/D28, 0)</f>
        <v/>
      </c>
      <c r="E42" s="28">
        <f>IFERROR(E41/E28, 0)</f>
        <v/>
      </c>
      <c r="F42" s="28">
        <f>IFERROR(F41/F28, 0)</f>
        <v/>
      </c>
      <c r="G42" s="28">
        <f>IFERROR(G41/G28, 0)</f>
        <v/>
      </c>
      <c r="H42" s="28">
        <f>IFERROR(H41/H28, 0)</f>
        <v/>
      </c>
      <c r="I42" s="10" t="inlineStr">
        <is>
          <t>FAVÖK tutarının toplam platform gelirine oranı.</t>
        </is>
      </c>
    </row>
    <row r="43">
      <c r="A43" t="inlineStr">
        <is>
          <t>Vergi</t>
        </is>
      </c>
      <c r="B43" t="inlineStr">
        <is>
          <t>Kurumlar Vergisi (%20)</t>
        </is>
      </c>
      <c r="C43" t="inlineStr">
        <is>
          <t>USD</t>
        </is>
      </c>
      <c r="D43" s="29">
        <f>IF(D41&gt;0, D41*0.20, 0)</f>
        <v/>
      </c>
      <c r="E43" s="29">
        <f>IF(E41&gt;0, E41*0.20, 0)</f>
        <v/>
      </c>
      <c r="F43" s="29">
        <f>IF(F41&gt;0, F41*0.20, 0)</f>
        <v/>
      </c>
      <c r="G43" s="29">
        <f>IF(G41&gt;0, G41*0.20, 0)</f>
        <v/>
      </c>
      <c r="H43" s="29">
        <f>IF(H41&gt;0, H41*0.20, 0)</f>
        <v/>
      </c>
      <c r="I43" s="10" t="inlineStr">
        <is>
          <t>Vergilendirilebilir kazanç üzerinden %20 Kurumlar Vergisi oranı.</t>
        </is>
      </c>
    </row>
    <row r="44">
      <c r="A44" t="inlineStr">
        <is>
          <t>Kârlılık</t>
        </is>
      </c>
      <c r="B44" t="inlineStr">
        <is>
          <t>NET KÂR (USD)</t>
        </is>
      </c>
      <c r="C44" t="inlineStr">
        <is>
          <t>USD</t>
        </is>
      </c>
      <c r="D44" s="30">
        <f>D41-D43</f>
        <v/>
      </c>
      <c r="E44" s="30">
        <f>E41-E43</f>
        <v/>
      </c>
      <c r="F44" s="30">
        <f>F41-F43</f>
        <v/>
      </c>
      <c r="G44" s="30">
        <f>G41-G43</f>
        <v/>
      </c>
      <c r="H44" s="30">
        <f>H41-H43</f>
        <v/>
      </c>
      <c r="I44" s="10" t="inlineStr">
        <is>
          <t>Tüm operasyonel giderler ve vergiler düşüldükten sonra kalan Net Kâr.</t>
        </is>
      </c>
    </row>
  </sheetData>
  <mergeCells count="7">
    <mergeCell ref="A15:I15"/>
    <mergeCell ref="A1:I1"/>
    <mergeCell ref="A40:I40"/>
    <mergeCell ref="A9:I9"/>
    <mergeCell ref="A30:I30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2026-08-30T13:47:26Z</dcterms:created>
  <dcterms:modified xmlns:dcterms="http://purl.org/dc/terms/" xmlns:xsi="http://www.w3.org/2001/XMLSchema-instance" xsi:type="dcterms:W3CDTF">2026-08-30T13:47:26Z</dcterms:modified>
</cp:coreProperties>
</file>