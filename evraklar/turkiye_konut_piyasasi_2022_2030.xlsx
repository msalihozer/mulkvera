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994652ce8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45ce23d3f77f4c0e"/>
    <x:sheet xmlns:r="http://schemas.openxmlformats.org/officeDocument/2006/relationships" name="Varsayımlar" sheetId="2" r:id="Rfb29cd6bdf6a459d"/>
    <x:sheet xmlns:r="http://schemas.openxmlformats.org/officeDocument/2006/relationships" name="Kaynaklar" sheetId="3" r:id="R9a118864195748a2"/>
    <x:sheet xmlns:r="http://schemas.openxmlformats.org/officeDocument/2006/relationships" name="Metodoloji" sheetId="4" r:id="R3496ad4b35f247a2"/>
    <x:sheet xmlns:r="http://schemas.openxmlformats.org/officeDocument/2006/relationships" name="Türkiye" sheetId="5" r:id="R69e3754db4e644a2"/>
    <x:sheet xmlns:r="http://schemas.openxmlformats.org/officeDocument/2006/relationships" name="İstanbul" sheetId="6" r:id="R16fb4ac8798d457b"/>
    <x:sheet xmlns:r="http://schemas.openxmlformats.org/officeDocument/2006/relationships" name="Ankara" sheetId="7" r:id="R8a2235fc9da34c6d"/>
    <x:sheet xmlns:r="http://schemas.openxmlformats.org/officeDocument/2006/relationships" name="İzmir" sheetId="8" r:id="R3963be9058b14981"/>
    <x:sheet xmlns:r="http://schemas.openxmlformats.org/officeDocument/2006/relationships" name="Veri_Uzun" sheetId="9" r:id="R6f8a67adfc67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#,##0"/>
    <x:numFmt numFmtId="202" formatCode="#,##0;[Red](#,##0);-"/>
    <x:numFmt numFmtId="203" formatCode="0.0;[Red](0.0);-"/>
    <x:numFmt numFmtId="204" formatCode="#,##0.0;[Red](#,##0.0);-"/>
    <x:numFmt numFmtId="205" formatCode="₺#,##0;[Red](₺#,##0);-"/>
    <x:numFmt numFmtId="206" formatCode="₺#,##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i/>
      <x:sz val="11"/>
      <x:color rgb="FF374151"/>
      <x:name val="Carlito"/>
    </x:font>
    <x:font>
      <x:b/>
      <x:sz val="11"/>
      <x:name val="Carlito"/>
    </x:font>
    <x:font>
      <x:sz val="11"/>
      <x:color rgb="FF008000"/>
      <x:name val="Carlito"/>
    </x:font>
    <x:font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1" fillId="2" borderId="13" xfId="0" applyNumberFormat="1" applyFont="1" applyFill="1" applyBorder="1" applyAlignment="1">
      <x:alignment horizontal="center" vertical="center"/>
    </x:xf>
    <x:xf numFmtId="0" fontId="1" fillId="2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/>
    <x:xf numFmtId="200" fontId="0" fillId="0" borderId="16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201" fontId="2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201" fontId="2" fillId="0" borderId="1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7" xfId="0" applyNumberFormat="1" applyFont="1" applyFill="1" applyBorder="1"/>
    <x:xf numFmtId="0" fontId="4" fillId="0" borderId="13" xfId="0" applyNumberFormat="1" applyFont="1" applyFill="1" applyBorder="1"/>
    <x:xf numFmtId="0" fontId="4" fillId="0" borderId="15" xfId="0" applyNumberFormat="1" applyFont="1" applyFill="1" applyBorder="1"/>
    <x:xf numFmtId="0" fontId="0" fillId="4" borderId="0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/>
    <x:xf numFmtId="0" fontId="0" fillId="4" borderId="16" xfId="0" applyNumberFormat="1" applyFont="1" applyFill="1" applyBorder="1"/>
    <x:xf numFmtId="0" fontId="0" fillId="5" borderId="0" xfId="0" applyNumberFormat="1" applyFont="1" applyFill="1" applyBorder="1"/>
    <x:xf numFmtId="0" fontId="0" fillId="5" borderId="6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" xfId="0" applyNumberFormat="1" applyFont="1" applyFill="1" applyBorder="1"/>
    <x:xf numFmtId="0" fontId="0" fillId="5" borderId="14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horizontal="center" vertical="center"/>
    </x:xf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9" xfId="0" applyNumberFormat="1" applyFont="1" applyFill="1" applyBorder="1"/>
    <x:xf numFmtId="0" fontId="1" fillId="3" borderId="10" xfId="0" applyNumberFormat="1" applyFont="1" applyFill="1" applyBorder="1" applyAlignment="1">
      <x:alignment horizontal="center" vertical="center"/>
    </x:xf>
    <x:xf numFmtId="0" fontId="1" fillId="3" borderId="12" xfId="0" applyNumberFormat="1" applyFont="1" applyFill="1" applyBorder="1" applyAlignment="1">
      <x:alignment horizontal="center" vertical="center"/>
    </x:xf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0" fontId="0" fillId="3" borderId="17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0" borderId="8" xfId="0" applyNumberFormat="1" applyFont="1" applyFill="1" applyBorder="1"/>
    <x:xf numFmtId="0" fontId="2" fillId="4" borderId="8" xfId="0" applyNumberFormat="1" applyFont="1" applyFill="1" applyBorder="1"/>
    <x:xf numFmtId="0" fontId="2" fillId="0" borderId="16" xfId="0" applyNumberFormat="1" applyFont="1" applyFill="1" applyBorder="1"/>
    <x:xf numFmtId="0" fontId="2" fillId="4" borderId="16" xfId="0" applyNumberFormat="1" applyFont="1" applyFill="1" applyBorder="1"/>
    <x:xf numFmtId="0" fontId="5" fillId="4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6" xfId="0" applyNumberFormat="1" applyFont="1" applyFill="1" applyBorder="1"/>
    <x:xf numFmtId="0" fontId="5" fillId="4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4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2" fontId="2" fillId="0" borderId="0" xfId="0" applyNumberFormat="1" applyFont="1" applyFill="1" applyBorder="1"/>
    <x:xf numFmtId="202" fontId="5" fillId="4" borderId="0" xfId="0" applyNumberFormat="1" applyFont="1" applyFill="1" applyBorder="1"/>
    <x:xf numFmtId="202" fontId="5" fillId="5" borderId="0" xfId="0" applyNumberFormat="1" applyFont="1" applyFill="1" applyBorder="1"/>
    <x:xf numFmtId="202" fontId="5" fillId="5" borderId="6" xfId="0" applyNumberFormat="1" applyFont="1" applyFill="1" applyBorder="1"/>
    <x:xf numFmtId="202" fontId="2" fillId="0" borderId="1" xfId="0" applyNumberFormat="1" applyFont="1" applyFill="1" applyBorder="1"/>
    <x:xf numFmtId="202" fontId="5" fillId="4" borderId="1" xfId="0" applyNumberFormat="1" applyFont="1" applyFill="1" applyBorder="1"/>
    <x:xf numFmtId="202" fontId="5" fillId="5" borderId="1" xfId="0" applyNumberFormat="1" applyFont="1" applyFill="1" applyBorder="1"/>
    <x:xf numFmtId="202" fontId="5" fillId="5" borderId="14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4" borderId="0" xfId="0" applyNumberFormat="1" applyFont="1" applyFill="1" applyBorder="1"/>
    <x:xf numFmtId="203" fontId="0" fillId="5" borderId="0" xfId="0" applyNumberFormat="1" applyFont="1" applyFill="1" applyBorder="1"/>
    <x:xf numFmtId="203" fontId="0" fillId="5" borderId="6" xfId="0" applyNumberFormat="1" applyFont="1" applyFill="1" applyBorder="1"/>
    <x:xf numFmtId="203" fontId="0" fillId="0" borderId="1" xfId="0" applyNumberFormat="1" applyFont="1" applyFill="1" applyBorder="1"/>
    <x:xf numFmtId="203" fontId="0" fillId="4" borderId="1" xfId="0" applyNumberFormat="1" applyFont="1" applyFill="1" applyBorder="1"/>
    <x:xf numFmtId="203" fontId="0" fillId="5" borderId="1" xfId="0" applyNumberFormat="1" applyFont="1" applyFill="1" applyBorder="1"/>
    <x:xf numFmtId="203" fontId="0" fillId="5" borderId="14" xfId="0" applyNumberFormat="1" applyFont="1" applyFill="1" applyBorder="1"/>
    <x:xf numFmtId="204" fontId="2" fillId="0" borderId="0" xfId="0" applyNumberFormat="1" applyFont="1" applyFill="1" applyBorder="1"/>
    <x:xf numFmtId="204" fontId="2" fillId="4" borderId="0" xfId="0" applyNumberFormat="1" applyFont="1" applyFill="1" applyBorder="1"/>
    <x:xf numFmtId="204" fontId="0" fillId="5" borderId="0" xfId="0" applyNumberFormat="1" applyFont="1" applyFill="1" applyBorder="1"/>
    <x:xf numFmtId="204" fontId="0" fillId="5" borderId="6" xfId="0" applyNumberFormat="1" applyFont="1" applyFill="1" applyBorder="1"/>
    <x:xf numFmtId="204" fontId="2" fillId="0" borderId="1" xfId="0" applyNumberFormat="1" applyFont="1" applyFill="1" applyBorder="1"/>
    <x:xf numFmtId="204" fontId="2" fillId="4" borderId="1" xfId="0" applyNumberFormat="1" applyFont="1" applyFill="1" applyBorder="1"/>
    <x:xf numFmtId="204" fontId="0" fillId="5" borderId="1" xfId="0" applyNumberFormat="1" applyFont="1" applyFill="1" applyBorder="1"/>
    <x:xf numFmtId="204" fontId="0" fillId="5" borderId="14" xfId="0" applyNumberFormat="1" applyFont="1" applyFill="1" applyBorder="1"/>
    <x:xf numFmtId="204" fontId="5" fillId="0" borderId="0" xfId="0" applyNumberFormat="1" applyFont="1" applyFill="1" applyBorder="1"/>
    <x:xf numFmtId="204" fontId="5" fillId="5" borderId="0" xfId="0" applyNumberFormat="1" applyFont="1" applyFill="1" applyBorder="1"/>
    <x:xf numFmtId="204" fontId="5" fillId="5" borderId="6" xfId="0" applyNumberFormat="1" applyFont="1" applyFill="1" applyBorder="1"/>
    <x:xf numFmtId="204" fontId="5" fillId="0" borderId="1" xfId="0" applyNumberFormat="1" applyFont="1" applyFill="1" applyBorder="1"/>
    <x:xf numFmtId="204" fontId="5" fillId="5" borderId="1" xfId="0" applyNumberFormat="1" applyFont="1" applyFill="1" applyBorder="1"/>
    <x:xf numFmtId="204" fontId="5" fillId="5" borderId="14" xfId="0" applyNumberFormat="1" applyFont="1" applyFill="1" applyBorder="1"/>
    <x:xf numFmtId="205" fontId="2" fillId="0" borderId="0" xfId="0" applyNumberFormat="1" applyFont="1" applyFill="1" applyBorder="1"/>
    <x:xf numFmtId="205" fontId="2" fillId="4" borderId="0" xfId="0" applyNumberFormat="1" applyFont="1" applyFill="1" applyBorder="1"/>
    <x:xf numFmtId="205" fontId="0" fillId="5" borderId="0" xfId="0" applyNumberFormat="1" applyFont="1" applyFill="1" applyBorder="1"/>
    <x:xf numFmtId="205" fontId="0" fillId="5" borderId="6" xfId="0" applyNumberFormat="1" applyFont="1" applyFill="1" applyBorder="1"/>
    <x:xf numFmtId="205" fontId="2" fillId="0" borderId="1" xfId="0" applyNumberFormat="1" applyFont="1" applyFill="1" applyBorder="1"/>
    <x:xf numFmtId="205" fontId="2" fillId="4" borderId="1" xfId="0" applyNumberFormat="1" applyFont="1" applyFill="1" applyBorder="1"/>
    <x:xf numFmtId="205" fontId="0" fillId="5" borderId="1" xfId="0" applyNumberFormat="1" applyFont="1" applyFill="1" applyBorder="1"/>
    <x:xf numFmtId="205" fontId="0" fillId="5" borderId="14" xfId="0" applyNumberFormat="1" applyFont="1" applyFill="1" applyBorder="1"/>
    <x:xf numFmtId="205" fontId="0" fillId="0" borderId="8" xfId="0" applyNumberFormat="1" applyFont="1" applyFill="1" applyBorder="1"/>
    <x:xf numFmtId="205" fontId="2" fillId="0" borderId="8" xfId="0" applyNumberFormat="1" applyFont="1" applyFill="1" applyBorder="1"/>
    <x:xf numFmtId="205" fontId="2" fillId="4" borderId="8" xfId="0" applyNumberFormat="1" applyFont="1" applyFill="1" applyBorder="1"/>
    <x:xf numFmtId="205" fontId="0" fillId="5" borderId="8" xfId="0" applyNumberFormat="1" applyFont="1" applyFill="1" applyBorder="1"/>
    <x:xf numFmtId="205" fontId="0" fillId="5" borderId="9" xfId="0" applyNumberFormat="1" applyFont="1" applyFill="1" applyBorder="1"/>
    <x:xf numFmtId="205" fontId="0" fillId="0" borderId="16" xfId="0" applyNumberFormat="1" applyFont="1" applyFill="1" applyBorder="1"/>
    <x:xf numFmtId="205" fontId="2" fillId="0" borderId="16" xfId="0" applyNumberFormat="1" applyFont="1" applyFill="1" applyBorder="1"/>
    <x:xf numFmtId="205" fontId="2" fillId="4" borderId="16" xfId="0" applyNumberFormat="1" applyFont="1" applyFill="1" applyBorder="1"/>
    <x:xf numFmtId="205" fontId="0" fillId="5" borderId="16" xfId="0" applyNumberFormat="1" applyFont="1" applyFill="1" applyBorder="1"/>
    <x:xf numFmtId="205" fontId="0" fillId="5" borderId="17" xfId="0" applyNumberFormat="1" applyFont="1" applyFill="1" applyBorder="1"/>
    <x:xf numFmtId="200" fontId="0" fillId="3" borderId="6" xfId="0" applyNumberFormat="1" applyFont="1" applyFill="1" applyBorder="1"/>
    <x:xf numFmtId="200" fontId="0" fillId="3" borderId="9" xfId="0" applyNumberFormat="1" applyFont="1" applyFill="1" applyBorder="1"/>
    <x:xf numFmtId="200" fontId="0" fillId="3" borderId="14" xfId="0" applyNumberFormat="1" applyFont="1" applyFill="1" applyBorder="1"/>
    <x:xf numFmtId="200" fontId="0" fillId="3" borderId="17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2" fontId="5" fillId="4" borderId="0" xfId="0" applyNumberFormat="1" applyFont="1" applyFill="1" applyBorder="1" applyAlignment="1">
      <x:alignment wrapText="1"/>
    </x:xf>
    <x:xf numFmtId="202" fontId="5" fillId="5" borderId="0" xfId="0" applyNumberFormat="1" applyFont="1" applyFill="1" applyBorder="1" applyAlignment="1">
      <x:alignment wrapText="1"/>
    </x:xf>
    <x:xf numFmtId="202" fontId="5" fillId="5" borderId="6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4" borderId="0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203" fontId="0" fillId="5" borderId="6" xfId="0" applyNumberFormat="1" applyFont="1" applyFill="1" applyBorder="1" applyAlignment="1">
      <x:alignment wrapText="1"/>
    </x:xf>
    <x:xf numFmtId="204" fontId="2" fillId="0" borderId="0" xfId="0" applyNumberFormat="1" applyFont="1" applyFill="1" applyBorder="1" applyAlignment="1">
      <x:alignment wrapText="1"/>
    </x:xf>
    <x:xf numFmtId="204" fontId="2" fillId="4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204" fontId="0" fillId="5" borderId="6" xfId="0" applyNumberFormat="1" applyFont="1" applyFill="1" applyBorder="1" applyAlignment="1">
      <x:alignment wrapText="1"/>
    </x:xf>
    <x:xf numFmtId="205" fontId="2" fillId="0" borderId="0" xfId="0" applyNumberFormat="1" applyFont="1" applyFill="1" applyBorder="1" applyAlignment="1">
      <x:alignment wrapText="1"/>
    </x:xf>
    <x:xf numFmtId="205" fontId="2" fillId="4" borderId="0" xfId="0" applyNumberFormat="1" applyFont="1" applyFill="1" applyBorder="1" applyAlignment="1">
      <x:alignment wrapText="1"/>
    </x:xf>
    <x:xf numFmtId="205" fontId="0" fillId="5" borderId="0" xfId="0" applyNumberFormat="1" applyFont="1" applyFill="1" applyBorder="1" applyAlignment="1">
      <x:alignment wrapText="1"/>
    </x:xf>
    <x:xf numFmtId="205" fontId="0" fillId="5" borderId="6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4" fontId="5" fillId="0" borderId="0" xfId="0" applyNumberFormat="1" applyFont="1" applyFill="1" applyBorder="1" applyAlignment="1">
      <x:alignment wrapText="1"/>
    </x:xf>
    <x:xf numFmtId="204" fontId="5" fillId="5" borderId="0" xfId="0" applyNumberFormat="1" applyFont="1" applyFill="1" applyBorder="1" applyAlignment="1">
      <x:alignment wrapText="1"/>
    </x:xf>
    <x:xf numFmtId="204" fontId="5" fillId="5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205" fontId="0" fillId="0" borderId="8" xfId="0" applyNumberFormat="1" applyFont="1" applyFill="1" applyBorder="1" applyAlignment="1">
      <x:alignment wrapText="1"/>
    </x:xf>
    <x:xf numFmtId="205" fontId="2" fillId="0" borderId="8" xfId="0" applyNumberFormat="1" applyFont="1" applyFill="1" applyBorder="1" applyAlignment="1">
      <x:alignment wrapText="1"/>
    </x:xf>
    <x:xf numFmtId="205" fontId="2" fillId="4" borderId="8" xfId="0" applyNumberFormat="1" applyFont="1" applyFill="1" applyBorder="1" applyAlignment="1">
      <x:alignment wrapText="1"/>
    </x:xf>
    <x:xf numFmtId="205" fontId="0" fillId="5" borderId="8" xfId="0" applyNumberFormat="1" applyFont="1" applyFill="1" applyBorder="1" applyAlignment="1">
      <x:alignment wrapText="1"/>
    </x:xf>
    <x:xf numFmtId="205" fontId="0" fillId="5" borderId="9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0" fillId="3" borderId="5" xfId="0" applyNumberFormat="1" applyFont="1" applyFill="1" applyBorder="1" applyAlignment="1">
      <x:alignment wrapText="1"/>
    </x:xf>
    <x:xf numFmtId="20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200" fontId="0" fillId="3" borderId="9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  <x:xf numFmtId="202" fontId="5" fillId="4" borderId="1" xfId="0" applyNumberFormat="1" applyFont="1" applyFill="1" applyBorder="1" applyAlignment="1">
      <x:alignment wrapText="1"/>
    </x:xf>
    <x:xf numFmtId="202" fontId="5" fillId="5" borderId="1" xfId="0" applyNumberFormat="1" applyFont="1" applyFill="1" applyBorder="1" applyAlignment="1">
      <x:alignment wrapText="1"/>
    </x:xf>
    <x:xf numFmtId="202" fontId="5" fillId="5" borderId="14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3" fontId="0" fillId="4" borderId="1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203" fontId="0" fillId="5" borderId="14" xfId="0" applyNumberFormat="1" applyFont="1" applyFill="1" applyBorder="1" applyAlignment="1">
      <x:alignment wrapText="1"/>
    </x:xf>
    <x:xf numFmtId="204" fontId="2" fillId="0" borderId="1" xfId="0" applyNumberFormat="1" applyFont="1" applyFill="1" applyBorder="1" applyAlignment="1">
      <x:alignment wrapText="1"/>
    </x:xf>
    <x:xf numFmtId="204" fontId="2" fillId="4" borderId="1" xfId="0" applyNumberFormat="1" applyFont="1" applyFill="1" applyBorder="1" applyAlignment="1">
      <x:alignment wrapText="1"/>
    </x:xf>
    <x:xf numFmtId="204" fontId="0" fillId="5" borderId="1" xfId="0" applyNumberFormat="1" applyFont="1" applyFill="1" applyBorder="1" applyAlignment="1">
      <x:alignment wrapText="1"/>
    </x:xf>
    <x:xf numFmtId="204" fontId="0" fillId="5" borderId="14" xfId="0" applyNumberFormat="1" applyFont="1" applyFill="1" applyBorder="1" applyAlignment="1">
      <x:alignment wrapText="1"/>
    </x:xf>
    <x:xf numFmtId="205" fontId="2" fillId="0" borderId="1" xfId="0" applyNumberFormat="1" applyFont="1" applyFill="1" applyBorder="1" applyAlignment="1">
      <x:alignment wrapText="1"/>
    </x:xf>
    <x:xf numFmtId="205" fontId="2" fillId="4" borderId="1" xfId="0" applyNumberFormat="1" applyFont="1" applyFill="1" applyBorder="1" applyAlignment="1">
      <x:alignment wrapText="1"/>
    </x:xf>
    <x:xf numFmtId="205" fontId="0" fillId="5" borderId="1" xfId="0" applyNumberFormat="1" applyFont="1" applyFill="1" applyBorder="1" applyAlignment="1">
      <x:alignment wrapText="1"/>
    </x:xf>
    <x:xf numFmtId="205" fontId="0" fillId="5" borderId="14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4" fontId="5" fillId="0" borderId="1" xfId="0" applyNumberFormat="1" applyFont="1" applyFill="1" applyBorder="1" applyAlignment="1">
      <x:alignment wrapText="1"/>
    </x:xf>
    <x:xf numFmtId="204" fontId="5" fillId="5" borderId="1" xfId="0" applyNumberFormat="1" applyFont="1" applyFill="1" applyBorder="1" applyAlignment="1">
      <x:alignment wrapText="1"/>
    </x:xf>
    <x:xf numFmtId="204" fontId="5" fillId="5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205" fontId="0" fillId="0" borderId="16" xfId="0" applyNumberFormat="1" applyFont="1" applyFill="1" applyBorder="1" applyAlignment="1">
      <x:alignment wrapText="1"/>
    </x:xf>
    <x:xf numFmtId="205" fontId="2" fillId="0" borderId="16" xfId="0" applyNumberFormat="1" applyFont="1" applyFill="1" applyBorder="1" applyAlignment="1">
      <x:alignment wrapText="1"/>
    </x:xf>
    <x:xf numFmtId="205" fontId="2" fillId="4" borderId="16" xfId="0" applyNumberFormat="1" applyFont="1" applyFill="1" applyBorder="1" applyAlignment="1">
      <x:alignment wrapText="1"/>
    </x:xf>
    <x:xf numFmtId="205" fontId="0" fillId="5" borderId="16" xfId="0" applyNumberFormat="1" applyFont="1" applyFill="1" applyBorder="1" applyAlignment="1">
      <x:alignment wrapText="1"/>
    </x:xf>
    <x:xf numFmtId="205" fontId="0" fillId="5" borderId="17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horizontal="center" vertical="center" wrapText="1"/>
    </x:xf>
    <x:xf numFmtId="0" fontId="1" fillId="3" borderId="12" xfId="0" applyNumberFormat="1" applyFont="1" applyFill="1" applyBorder="1" applyAlignment="1">
      <x:alignment horizontal="center" vertical="center" wrapText="1"/>
    </x:xf>
    <x:xf numFmtId="0" fontId="0" fillId="3" borderId="13" xfId="0" applyNumberFormat="1" applyFont="1" applyFill="1" applyBorder="1" applyAlignment="1">
      <x:alignment wrapText="1"/>
    </x:xf>
    <x:xf numFmtId="200" fontId="0" fillId="3" borderId="14" xfId="0" applyNumberFormat="1" applyFont="1" applyFill="1" applyBorder="1" applyAlignment="1">
      <x:alignment wrapText="1"/>
    </x:xf>
    <x:xf numFmtId="0" fontId="0" fillId="3" borderId="15" xfId="0" applyNumberFormat="1" applyFont="1" applyFill="1" applyBorder="1" applyAlignment="1">
      <x:alignment wrapText="1"/>
    </x:xf>
    <x:xf numFmtId="200" fontId="0" fillId="3" borderId="17" xfId="0" applyNumberFormat="1" applyFont="1" applyFill="1" applyBorder="1" applyAlignment="1">
      <x:alignment wrapText="1"/>
    </x:xf>
    <x:xf numFmtId="0" fontId="6" fillId="0" borderId="8" xfId="0" applyNumberFormat="1" applyFont="1" applyFill="1" applyBorder="1"/>
    <x:xf numFmtId="0" fontId="6" fillId="0" borderId="16" xfId="0" applyNumberFormat="1" applyFont="1" applyFill="1" applyBorder="1"/>
    <x:xf numFmtId="205" fontId="6" fillId="0" borderId="8" xfId="0" applyNumberFormat="1" applyFont="1" applyFill="1" applyBorder="1"/>
    <x:xf numFmtId="205" fontId="6" fillId="0" borderId="16" xfId="0" applyNumberFormat="1" applyFont="1" applyFill="1" applyBorder="1"/>
    <x:xf numFmtId="205" fontId="6" fillId="0" borderId="8" xfId="0" applyNumberFormat="1" applyFont="1" applyFill="1" applyBorder="1" applyAlignment="1">
      <x:alignment wrapText="1"/>
    </x:xf>
    <x:xf numFmtId="205" fontId="6" fillId="0" borderId="16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4" fontId="6" fillId="0" borderId="0" xfId="0" applyNumberFormat="1" applyFont="1" applyFill="1" applyBorder="1" applyAlignment="1">
      <x:alignment wrapText="1"/>
    </x:xf>
    <x:xf numFmtId="205" fontId="6" fillId="0" borderId="0" xfId="0" applyNumberFormat="1" applyFont="1" applyFill="1" applyBorder="1" applyAlignment="1">
      <x:alignment wrapText="1"/>
    </x:xf>
    <x:xf numFmtId="204" fontId="6" fillId="0" borderId="1" xfId="0" applyNumberFormat="1" applyFont="1" applyFill="1" applyBorder="1" applyAlignment="1">
      <x:alignment wrapText="1"/>
    </x:xf>
    <x:xf numFmtId="205" fontId="6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8" xfId="0" applyNumberFormat="1" applyFont="1" applyFill="1" applyBorder="1"/>
    <x:xf numFmtId="202" fontId="0" fillId="0" borderId="1" xfId="0" applyNumberFormat="1" applyFont="1" applyFill="1" applyBorder="1"/>
    <x:xf numFmtId="202" fontId="0" fillId="0" borderId="16" xfId="0" applyNumberFormat="1" applyFont="1" applyFill="1" applyBorder="1"/>
    <x:xf numFmtId="204" fontId="0" fillId="0" borderId="0" xfId="0" applyNumberFormat="1" applyFont="1" applyFill="1" applyBorder="1"/>
    <x:xf numFmtId="204" fontId="0" fillId="0" borderId="8" xfId="0" applyNumberFormat="1" applyFont="1" applyFill="1" applyBorder="1"/>
    <x:xf numFmtId="204" fontId="0" fillId="0" borderId="1" xfId="0" applyNumberFormat="1" applyFont="1" applyFill="1" applyBorder="1"/>
    <x:xf numFmtId="204" fontId="0" fillId="0" borderId="16" xfId="0" applyNumberFormat="1" applyFont="1" applyFill="1" applyBorder="1"/>
    <x:xf numFmtId="205" fontId="0" fillId="0" borderId="0" xfId="0" applyNumberFormat="1" applyFont="1" applyFill="1" applyBorder="1"/>
    <x:xf numFmtId="205" fontId="0" fillId="0" borderId="6" xfId="0" applyNumberFormat="1" applyFont="1" applyFill="1" applyBorder="1"/>
    <x:xf numFmtId="205" fontId="0" fillId="0" borderId="9" xfId="0" applyNumberFormat="1" applyFont="1" applyFill="1" applyBorder="1"/>
    <x:xf numFmtId="205" fontId="0" fillId="0" borderId="1" xfId="0" applyNumberFormat="1" applyFont="1" applyFill="1" applyBorder="1"/>
    <x:xf numFmtId="205" fontId="0" fillId="0" borderId="14" xfId="0" applyNumberFormat="1" applyFont="1" applyFill="1" applyBorder="1"/>
    <x:xf numFmtId="205" fontId="0" fillId="0" borderId="17" xfId="0" applyNumberFormat="1" applyFont="1" applyFill="1" applyBorder="1"/>
    <x:xf numFmtId="205" fontId="5" fillId="0" borderId="0" xfId="0" applyNumberFormat="1" applyFont="1" applyFill="1" applyBorder="1"/>
    <x:xf numFmtId="205" fontId="5" fillId="0" borderId="6" xfId="0" applyNumberFormat="1" applyFont="1" applyFill="1" applyBorder="1"/>
    <x:xf numFmtId="202" fontId="5" fillId="0" borderId="8" xfId="0" applyNumberFormat="1" applyFont="1" applyFill="1" applyBorder="1"/>
    <x:xf numFmtId="204" fontId="5" fillId="0" borderId="8" xfId="0" applyNumberFormat="1" applyFont="1" applyFill="1" applyBorder="1"/>
    <x:xf numFmtId="205" fontId="5" fillId="0" borderId="8" xfId="0" applyNumberFormat="1" applyFont="1" applyFill="1" applyBorder="1"/>
    <x:xf numFmtId="205" fontId="5" fillId="0" borderId="9" xfId="0" applyNumberFormat="1" applyFont="1" applyFill="1" applyBorder="1"/>
    <x:xf numFmtId="205" fontId="5" fillId="0" borderId="1" xfId="0" applyNumberFormat="1" applyFont="1" applyFill="1" applyBorder="1"/>
    <x:xf numFmtId="205" fontId="5" fillId="0" borderId="14" xfId="0" applyNumberFormat="1" applyFont="1" applyFill="1" applyBorder="1"/>
    <x:xf numFmtId="202" fontId="5" fillId="0" borderId="16" xfId="0" applyNumberFormat="1" applyFont="1" applyFill="1" applyBorder="1"/>
    <x:xf numFmtId="204" fontId="5" fillId="0" borderId="16" xfId="0" applyNumberFormat="1" applyFont="1" applyFill="1" applyBorder="1"/>
    <x:xf numFmtId="205" fontId="5" fillId="0" borderId="16" xfId="0" applyNumberFormat="1" applyFont="1" applyFill="1" applyBorder="1"/>
    <x:xf numFmtId="205" fontId="5" fillId="0" borderId="17" xfId="0" applyNumberFormat="1" applyFont="1" applyFill="1" applyBorder="1"/>
    <x:xf numFmtId="202" fontId="5" fillId="4" borderId="8" xfId="0" applyNumberFormat="1" applyFont="1" applyFill="1" applyBorder="1"/>
    <x:xf numFmtId="202" fontId="5" fillId="4" borderId="16" xfId="0" applyNumberFormat="1" applyFont="1" applyFill="1" applyBorder="1"/>
    <x:xf numFmtId="204" fontId="5" fillId="4" borderId="0" xfId="0" applyNumberFormat="1" applyFont="1" applyFill="1" applyBorder="1"/>
    <x:xf numFmtId="204" fontId="5" fillId="4" borderId="8" xfId="0" applyNumberFormat="1" applyFont="1" applyFill="1" applyBorder="1"/>
    <x:xf numFmtId="204" fontId="5" fillId="4" borderId="1" xfId="0" applyNumberFormat="1" applyFont="1" applyFill="1" applyBorder="1"/>
    <x:xf numFmtId="204" fontId="5" fillId="4" borderId="16" xfId="0" applyNumberFormat="1" applyFont="1" applyFill="1" applyBorder="1"/>
    <x:xf numFmtId="205" fontId="5" fillId="4" borderId="0" xfId="0" applyNumberFormat="1" applyFont="1" applyFill="1" applyBorder="1"/>
    <x:xf numFmtId="205" fontId="5" fillId="4" borderId="8" xfId="0" applyNumberFormat="1" applyFont="1" applyFill="1" applyBorder="1"/>
    <x:xf numFmtId="205" fontId="5" fillId="4" borderId="1" xfId="0" applyNumberFormat="1" applyFont="1" applyFill="1" applyBorder="1"/>
    <x:xf numFmtId="205" fontId="5" fillId="4" borderId="16" xfId="0" applyNumberFormat="1" applyFont="1" applyFill="1" applyBorder="1"/>
    <x:xf numFmtId="202" fontId="5" fillId="5" borderId="8" xfId="0" applyNumberFormat="1" applyFont="1" applyFill="1" applyBorder="1"/>
    <x:xf numFmtId="202" fontId="5" fillId="5" borderId="16" xfId="0" applyNumberFormat="1" applyFont="1" applyFill="1" applyBorder="1"/>
    <x:xf numFmtId="204" fontId="5" fillId="5" borderId="8" xfId="0" applyNumberFormat="1" applyFont="1" applyFill="1" applyBorder="1"/>
    <x:xf numFmtId="204" fontId="5" fillId="5" borderId="16" xfId="0" applyNumberFormat="1" applyFont="1" applyFill="1" applyBorder="1"/>
    <x:xf numFmtId="205" fontId="5" fillId="5" borderId="0" xfId="0" applyNumberFormat="1" applyFont="1" applyFill="1" applyBorder="1"/>
    <x:xf numFmtId="205" fontId="5" fillId="5" borderId="8" xfId="0" applyNumberFormat="1" applyFont="1" applyFill="1" applyBorder="1"/>
    <x:xf numFmtId="205" fontId="5" fillId="5" borderId="1" xfId="0" applyNumberFormat="1" applyFont="1" applyFill="1" applyBorder="1"/>
    <x:xf numFmtId="205" fontId="5" fillId="5" borderId="16" xfId="0" applyNumberFormat="1" applyFont="1" applyFill="1" applyBorder="1"/>
    <x:xf numFmtId="205" fontId="5" fillId="5" borderId="6" xfId="0" applyNumberFormat="1" applyFont="1" applyFill="1" applyBorder="1"/>
    <x:xf numFmtId="205" fontId="5" fillId="5" borderId="9" xfId="0" applyNumberFormat="1" applyFont="1" applyFill="1" applyBorder="1"/>
    <x:xf numFmtId="205" fontId="5" fillId="5" borderId="14" xfId="0" applyNumberFormat="1" applyFont="1" applyFill="1" applyBorder="1"/>
    <x:xf numFmtId="205" fontId="5" fillId="5" borderId="17" xfId="0" applyNumberFormat="1" applyFont="1" applyFill="1" applyBorder="1"/>
    <x:xf numFmtId="206" fontId="0" fillId="0" borderId="0" xfId="0" applyNumberFormat="1" applyFont="1" applyFill="1" applyBorder="1"/>
    <x:xf numFmtId="206" fontId="0" fillId="0" borderId="6" xfId="0" applyNumberFormat="1" applyFont="1" applyFill="1" applyBorder="1"/>
    <x:xf numFmtId="206" fontId="0" fillId="0" borderId="8" xfId="0" applyNumberFormat="1" applyFont="1" applyFill="1" applyBorder="1"/>
    <x:xf numFmtId="206" fontId="0" fillId="0" borderId="9" xfId="0" applyNumberFormat="1" applyFont="1" applyFill="1" applyBorder="1"/>
    <x:xf numFmtId="206" fontId="0" fillId="0" borderId="1" xfId="0" applyNumberFormat="1" applyFont="1" applyFill="1" applyBorder="1"/>
    <x:xf numFmtId="206" fontId="0" fillId="0" borderId="14" xfId="0" applyNumberFormat="1" applyFont="1" applyFill="1" applyBorder="1"/>
    <x:xf numFmtId="206" fontId="0" fillId="0" borderId="16" xfId="0" applyNumberFormat="1" applyFont="1" applyFill="1" applyBorder="1"/>
    <x:xf numFmtId="206" fontId="0" fillId="0" borderId="17" xfId="0" applyNumberFormat="1" applyFont="1" applyFill="1" applyBorder="1"/>
    <x:xf numFmtId="204" fontId="5" fillId="4" borderId="0" xfId="0" applyNumberFormat="1" applyFont="1" applyFill="1" applyBorder="1" applyAlignment="1">
      <x:alignment wrapText="1"/>
    </x:xf>
    <x:xf numFmtId="205" fontId="5" fillId="4" borderId="0" xfId="0" applyNumberFormat="1" applyFont="1" applyFill="1" applyBorder="1" applyAlignment="1">
      <x:alignment wrapText="1"/>
    </x:xf>
    <x:xf numFmtId="205" fontId="5" fillId="5" borderId="0" xfId="0" applyNumberFormat="1" applyFont="1" applyFill="1" applyBorder="1" applyAlignment="1">
      <x:alignment wrapText="1"/>
    </x:xf>
    <x:xf numFmtId="205" fontId="5" fillId="5" borderId="6" xfId="0" applyNumberFormat="1" applyFont="1" applyFill="1" applyBorder="1" applyAlignment="1">
      <x:alignment wrapText="1"/>
    </x:xf>
    <x:xf numFmtId="202" fontId="5" fillId="4" borderId="8" xfId="0" applyNumberFormat="1" applyFont="1" applyFill="1" applyBorder="1" applyAlignment="1">
      <x:alignment wrapText="1"/>
    </x:xf>
    <x:xf numFmtId="202" fontId="5" fillId="5" borderId="8" xfId="0" applyNumberFormat="1" applyFont="1" applyFill="1" applyBorder="1" applyAlignment="1">
      <x:alignment wrapText="1"/>
    </x:xf>
    <x:xf numFmtId="204" fontId="5" fillId="4" borderId="8" xfId="0" applyNumberFormat="1" applyFont="1" applyFill="1" applyBorder="1" applyAlignment="1">
      <x:alignment wrapText="1"/>
    </x:xf>
    <x:xf numFmtId="204" fontId="5" fillId="5" borderId="8" xfId="0" applyNumberFormat="1" applyFont="1" applyFill="1" applyBorder="1" applyAlignment="1">
      <x:alignment wrapText="1"/>
    </x:xf>
    <x:xf numFmtId="205" fontId="5" fillId="4" borderId="8" xfId="0" applyNumberFormat="1" applyFont="1" applyFill="1" applyBorder="1" applyAlignment="1">
      <x:alignment wrapText="1"/>
    </x:xf>
    <x:xf numFmtId="205" fontId="5" fillId="5" borderId="8" xfId="0" applyNumberFormat="1" applyFont="1" applyFill="1" applyBorder="1" applyAlignment="1">
      <x:alignment wrapText="1"/>
    </x:xf>
    <x:xf numFmtId="205" fontId="5" fillId="5" borderId="9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6" fontId="0" fillId="0" borderId="6" xfId="0" applyNumberFormat="1" applyFont="1" applyFill="1" applyBorder="1" applyAlignment="1">
      <x:alignment wrapText="1"/>
    </x:xf>
    <x:xf numFmtId="206" fontId="0" fillId="0" borderId="8" xfId="0" applyNumberFormat="1" applyFont="1" applyFill="1" applyBorder="1" applyAlignment="1">
      <x:alignment wrapText="1"/>
    </x:xf>
    <x:xf numFmtId="206" fontId="0" fillId="0" borderId="9" xfId="0" applyNumberFormat="1" applyFont="1" applyFill="1" applyBorder="1" applyAlignment="1">
      <x:alignment wrapText="1"/>
    </x:xf>
    <x:xf numFmtId="204" fontId="5" fillId="4" borderId="1" xfId="0" applyNumberFormat="1" applyFont="1" applyFill="1" applyBorder="1" applyAlignment="1">
      <x:alignment wrapText="1"/>
    </x:xf>
    <x:xf numFmtId="205" fontId="5" fillId="4" borderId="1" xfId="0" applyNumberFormat="1" applyFont="1" applyFill="1" applyBorder="1" applyAlignment="1">
      <x:alignment wrapText="1"/>
    </x:xf>
    <x:xf numFmtId="205" fontId="5" fillId="5" borderId="1" xfId="0" applyNumberFormat="1" applyFont="1" applyFill="1" applyBorder="1" applyAlignment="1">
      <x:alignment wrapText="1"/>
    </x:xf>
    <x:xf numFmtId="205" fontId="5" fillId="5" borderId="14" xfId="0" applyNumberFormat="1" applyFont="1" applyFill="1" applyBorder="1" applyAlignment="1">
      <x:alignment wrapText="1"/>
    </x:xf>
    <x:xf numFmtId="202" fontId="5" fillId="4" borderId="16" xfId="0" applyNumberFormat="1" applyFont="1" applyFill="1" applyBorder="1" applyAlignment="1">
      <x:alignment wrapText="1"/>
    </x:xf>
    <x:xf numFmtId="202" fontId="5" fillId="5" borderId="16" xfId="0" applyNumberFormat="1" applyFont="1" applyFill="1" applyBorder="1" applyAlignment="1">
      <x:alignment wrapText="1"/>
    </x:xf>
    <x:xf numFmtId="204" fontId="5" fillId="4" borderId="16" xfId="0" applyNumberFormat="1" applyFont="1" applyFill="1" applyBorder="1" applyAlignment="1">
      <x:alignment wrapText="1"/>
    </x:xf>
    <x:xf numFmtId="204" fontId="5" fillId="5" borderId="16" xfId="0" applyNumberFormat="1" applyFont="1" applyFill="1" applyBorder="1" applyAlignment="1">
      <x:alignment wrapText="1"/>
    </x:xf>
    <x:xf numFmtId="205" fontId="5" fillId="4" borderId="16" xfId="0" applyNumberFormat="1" applyFont="1" applyFill="1" applyBorder="1" applyAlignment="1">
      <x:alignment wrapText="1"/>
    </x:xf>
    <x:xf numFmtId="205" fontId="5" fillId="5" borderId="16" xfId="0" applyNumberFormat="1" applyFont="1" applyFill="1" applyBorder="1" applyAlignment="1">
      <x:alignment wrapText="1"/>
    </x:xf>
    <x:xf numFmtId="205" fontId="5" fillId="5" borderId="17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206" fontId="0" fillId="0" borderId="14" xfId="0" applyNumberFormat="1" applyFont="1" applyFill="1" applyBorder="1" applyAlignment="1">
      <x:alignment wrapText="1"/>
    </x:xf>
    <x:xf numFmtId="206" fontId="0" fillId="0" borderId="16" xfId="0" applyNumberFormat="1" applyFont="1" applyFill="1" applyBorder="1" applyAlignment="1">
      <x:alignment wrapText="1"/>
    </x:xf>
    <x:xf numFmtId="206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d7f27ef434f3e" /><Relationship Type="http://schemas.openxmlformats.org/officeDocument/2006/relationships/theme" Target="/xl/theme/theme1.xml" Id="R1e5a299a323d49d2" /><Relationship Type="http://schemas.openxmlformats.org/officeDocument/2006/relationships/sharedStrings" Target="/xl/sharedStrings.xml" Id="R684e6f573a474b70" /><Relationship Type="http://schemas.openxmlformats.org/officeDocument/2006/relationships/worksheet" Target="/xl/worksheets/sheet1.xml" Id="R45ce23d3f77f4c0e" /><Relationship Type="http://schemas.openxmlformats.org/officeDocument/2006/relationships/worksheet" Target="/xl/worksheets/sheet2.xml" Id="Rfb29cd6bdf6a459d" /><Relationship Type="http://schemas.openxmlformats.org/officeDocument/2006/relationships/worksheet" Target="/xl/worksheets/sheet3.xml" Id="R9a118864195748a2" /><Relationship Type="http://schemas.openxmlformats.org/officeDocument/2006/relationships/worksheet" Target="/xl/worksheets/sheet4.xml" Id="R3496ad4b35f247a2" /><Relationship Type="http://schemas.openxmlformats.org/officeDocument/2006/relationships/worksheet" Target="/xl/worksheets/sheet5.xml" Id="R69e3754db4e644a2" /><Relationship Type="http://schemas.openxmlformats.org/officeDocument/2006/relationships/worksheet" Target="/xl/worksheets/sheet6.xml" Id="R16fb4ac8798d457b" /><Relationship Type="http://schemas.openxmlformats.org/officeDocument/2006/relationships/worksheet" Target="/xl/worksheets/sheet7.xml" Id="R8a2235fc9da34c6d" /><Relationship Type="http://schemas.openxmlformats.org/officeDocument/2006/relationships/worksheet" Target="/xl/worksheets/sheet8.xml" Id="R3963be9058b14981" /><Relationship Type="http://schemas.openxmlformats.org/officeDocument/2006/relationships/worksheet" Target="/xl/worksheets/sheet9.xml" Id="R6f8a67adfc6744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76d9c0c2624bc8" /><Relationship Type="http://schemas.openxmlformats.org/officeDocument/2006/relationships/chart" Target="/xl/drawings/charts/chart2.xml" Id="R84b4195d4a984c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Ortalama Ev Fiyatı (TL): 2022–2030</a:t>
            </a:r>
          </a:p>
        </c:rich>
      </c:tx>
    </c:title>
    <c:plotArea>
      <c:lineChart>
        <c:grouping val="standard"/>
        <c:ser>
          <c:idx val="0"/>
          <c:order val="0"/>
          <c:tx>
            <c:v>Türkiye</c:v>
          </c:tx>
          <c:marker>
            <c:symbol val="none"/>
          </c:marker>
          <c:cat>
            <c:strRef>
              <c:f>'Özet'!$A$12:$A$20</c:f>
              <c:strCache>
                <c:ptCount val="0"/>
              </c:strCache>
            </c:strRef>
          </c:cat>
          <c:val>
            <c:numRef>
              <c:f>'Özet'!$B$12:$B$20</c:f>
              <c:numCache>
                <c:formatCode>₺#,##0</c:formatCode>
                <c:ptCount val="0"/>
              </c:numCache>
            </c:numRef>
          </c:val>
        </c:ser>
        <c:ser>
          <c:idx val="1"/>
          <c:order val="1"/>
          <c:tx>
            <c:v>İstanbul</c:v>
          </c:tx>
          <c:marker>
            <c:symbol val="none"/>
          </c:marker>
          <c:cat>
            <c:strRef>
              <c:f>'Özet'!$A$12:$A$20</c:f>
              <c:strCache>
                <c:ptCount val="0"/>
              </c:strCache>
            </c:strRef>
          </c:cat>
          <c:val>
            <c:numRef>
              <c:f>'Özet'!$C$12:$C$20</c:f>
              <c:numCache>
                <c:formatCode>₺#,##0</c:formatCode>
                <c:ptCount val="0"/>
              </c:numCache>
            </c:numRef>
          </c:val>
        </c:ser>
        <c:ser>
          <c:idx val="2"/>
          <c:order val="2"/>
          <c:tx>
            <c:v>Ankara</c:v>
          </c:tx>
          <c:marker>
            <c:symbol val="none"/>
          </c:marker>
          <c:cat>
            <c:strRef>
              <c:f>'Özet'!$A$12:$A$20</c:f>
              <c:strCache>
                <c:ptCount val="0"/>
              </c:strCache>
            </c:strRef>
          </c:cat>
          <c:val>
            <c:numRef>
              <c:f>'Özet'!$D$12:$D$20</c:f>
              <c:numCache>
                <c:formatCode>₺#,##0</c:formatCode>
                <c:ptCount val="0"/>
              </c:numCache>
            </c:numRef>
          </c:val>
        </c:ser>
        <c:ser>
          <c:idx val="3"/>
          <c:order val="3"/>
          <c:tx>
            <c:v>İzmir</c:v>
          </c:tx>
          <c:marker>
            <c:symbol val="none"/>
          </c:marker>
          <c:cat>
            <c:strRef>
              <c:f>'Özet'!$A$12:$A$20</c:f>
              <c:strCache>
                <c:ptCount val="0"/>
              </c:strCache>
            </c:strRef>
          </c:cat>
          <c:val>
            <c:numRef>
              <c:f>'Özet'!$E$12:$E$20</c:f>
              <c:numCache>
                <c:formatCode>₺#,##0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Ortalama Kira (TL/ay): 2022–2030</a:t>
            </a:r>
          </a:p>
        </c:rich>
      </c:tx>
    </c:title>
    <c:plotArea>
      <c:lineChart>
        <c:grouping val="standard"/>
        <c:ser>
          <c:idx val="0"/>
          <c:order val="0"/>
          <c:tx>
            <c:v>Türkiye</c:v>
          </c:tx>
          <c:marker>
            <c:symbol val="none"/>
          </c:marker>
          <c:cat>
            <c:strRef>
              <c:f>'Özet'!$G$12:$G$20</c:f>
              <c:strCache>
                <c:ptCount val="0"/>
              </c:strCache>
            </c:strRef>
          </c:cat>
          <c:val>
            <c:numRef>
              <c:f>'Özet'!$H$12:$H$20</c:f>
              <c:numCache>
                <c:formatCode>₺#,##0</c:formatCode>
                <c:ptCount val="0"/>
              </c:numCache>
            </c:numRef>
          </c:val>
        </c:ser>
        <c:ser>
          <c:idx val="1"/>
          <c:order val="1"/>
          <c:tx>
            <c:v>İstanbul</c:v>
          </c:tx>
          <c:marker>
            <c:symbol val="none"/>
          </c:marker>
          <c:cat>
            <c:strRef>
              <c:f>'Özet'!$G$12:$G$20</c:f>
              <c:strCache>
                <c:ptCount val="0"/>
              </c:strCache>
            </c:strRef>
          </c:cat>
          <c:val>
            <c:numRef>
              <c:f>'Özet'!$I$12:$I$20</c:f>
              <c:numCache>
                <c:formatCode>₺#,##0</c:formatCode>
                <c:ptCount val="0"/>
              </c:numCache>
            </c:numRef>
          </c:val>
        </c:ser>
        <c:ser>
          <c:idx val="2"/>
          <c:order val="2"/>
          <c:tx>
            <c:v>Ankara</c:v>
          </c:tx>
          <c:marker>
            <c:symbol val="none"/>
          </c:marker>
          <c:cat>
            <c:strRef>
              <c:f>'Özet'!$G$12:$G$20</c:f>
              <c:strCache>
                <c:ptCount val="0"/>
              </c:strCache>
            </c:strRef>
          </c:cat>
          <c:val>
            <c:numRef>
              <c:f>'Özet'!$J$12:$J$20</c:f>
              <c:numCache>
                <c:formatCode>₺#,##0</c:formatCode>
                <c:ptCount val="0"/>
              </c:numCache>
            </c:numRef>
          </c:val>
        </c:ser>
        <c:ser>
          <c:idx val="3"/>
          <c:order val="3"/>
          <c:tx>
            <c:v>İzmir</c:v>
          </c:tx>
          <c:marker>
            <c:symbol val="none"/>
          </c:marker>
          <c:cat>
            <c:strRef>
              <c:f>'Özet'!$G$12:$G$20</c:f>
              <c:strCache>
                <c:ptCount val="0"/>
              </c:strCache>
            </c:strRef>
          </c:cat>
          <c:val>
            <c:numRef>
              <c:f>'Özet'!$K$12:$K$20</c:f>
              <c:numCache>
                <c:formatCode>₺#,##0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76d9c0c2624bc8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b4195d4a984c9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onutVeriUzun" displayName="KonutVeriUzun" ref="A1:K289" headerRowCount="1" totalsRowCount="0" totalsRowShown="0">
  <x:tableColumns count="11">
    <x:tableColumn id="1" name="Coğrafya"/>
    <x:tableColumn id="2" name="Gösterge_ID"/>
    <x:tableColumn id="3" name="Gösterge"/>
    <x:tableColumn id="4" name="Birim"/>
    <x:tableColumn id="5" name="Yıl"/>
    <x:tableColumn id="6" name="Değer"/>
    <x:tableColumn id="7" name="Dönem_Türü"/>
    <x:tableColumn id="8" name="Veri_Türü"/>
    <x:tableColumn id="9" name="Kaynak_ID"/>
    <x:tableColumn id="10" name="Kaynak_URL"/>
    <x:tableColumn id="11" name="Metod_Not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dfdfefc1c44f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aa03fc19d66343e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</x:cols>
  <x:sheetData>
    <x:row r="1">
      <x:c r="A1" s="52" t="str">
        <x:v>Türkiye Konut Piyasası — 2022–2030 Araştırma ve Tahmin Modeli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>
      <x:c r="A2" s="265" t="str">
        <x:v>Ana kaynaklar: TÜİK, TCMB, BETAM/sahibindex, Endeksa/Emlakjet ve Anadolu Ajansı teyidi. Kira işlem adedi resmî seri değil, platform proxy'sidir.</x:v>
      </x:c>
      <x:c r="B2" s="265"/>
      <x:c r="C2" s="265"/>
      <x:c r="D2" s="265"/>
      <x:c r="E2" s="265"/>
      <x:c r="F2" s="265"/>
      <x:c r="G2" s="265"/>
      <x:c r="H2" s="265"/>
      <x:c r="I2" s="265"/>
      <x:c r="J2" s="265"/>
      <x:c r="K2" s="265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</x:row>
    <x:row r="4">
      <x:c r="A4" s="43" t="str">
        <x:v>Coğrafya</x:v>
      </x:c>
      <x:c r="B4" s="44" t="str">
        <x:v>2026E Satış Adedi</x:v>
      </x:c>
      <x:c r="C4" s="44" t="str">
        <x:v>2030F Satış Adedi</x:v>
      </x:c>
      <x:c r="D4" s="44" t="str">
        <x:v>2026 Satılık m²</x:v>
      </x:c>
      <x:c r="E4" s="44" t="str">
        <x:v>2030F Satılık m²</x:v>
      </x:c>
      <x:c r="F4" s="44" t="str">
        <x:v>2026 Ort. Ev Fiyatı</x:v>
      </x:c>
      <x:c r="G4" s="44" t="str">
        <x:v>2030F Ort. Ev Fiyatı</x:v>
      </x:c>
      <x:c r="H4" s="44" t="str">
        <x:v>2026 Ort. Kira</x:v>
      </x:c>
      <x:c r="I4" s="45" t="str">
        <x:v>2030F Ort. Kira</x:v>
      </x:c>
      <x:c r="J4" s="47"/>
      <x:c r="K4" s="47"/>
    </x:row>
    <x:row r="5">
      <x:c r="A5" s="46" t="str">
        <x:v>Türkiye</x:v>
      </x:c>
      <x:c r="B5" s="185" t="n">
        <x:f>'Türkiye'!F5</x:f>
        <x:v>1596493.5629048874</x:v>
      </x:c>
      <x:c r="C5" s="186" t="n">
        <x:f>'Türkiye'!J5</x:f>
        <x:v>1724819.2053738493</x:v>
      </x:c>
      <x:c r="D5" s="323" t="n">
        <x:f>'Türkiye'!F7</x:f>
        <x:v>41703</x:v>
      </x:c>
      <x:c r="E5" s="202" t="n">
        <x:f>'Türkiye'!J7</x:f>
        <x:v>58181.75278650001</x:v>
      </x:c>
      <x:c r="F5" s="324" t="n">
        <x:f>'Türkiye'!F8</x:f>
        <x:v>5212875</x:v>
      </x:c>
      <x:c r="G5" s="325" t="n">
        <x:f>'Türkiye'!J8</x:f>
        <x:v>7272719.098312501</x:v>
      </x:c>
      <x:c r="H5" s="324" t="n">
        <x:f>'Türkiye'!F12</x:f>
        <x:v>27633</x:v>
      </x:c>
      <x:c r="I5" s="326" t="n">
        <x:f>'Türkiye'!J12</x:f>
        <x:v>38552.055601500004</x:v>
      </x:c>
      <x:c r="J5" s="47"/>
      <x:c r="K5" s="47"/>
    </x:row>
    <x:row r="6">
      <x:c r="A6" s="46" t="str">
        <x:v>İstanbul</x:v>
      </x:c>
      <x:c r="B6" s="185" t="n">
        <x:f>'İstanbul'!F5</x:f>
        <x:v>264926.1825241425</x:v>
      </x:c>
      <x:c r="C6" s="186" t="n">
        <x:f>'İstanbul'!J5</x:f>
        <x:v>282369.09906274604</x:v>
      </x:c>
      <x:c r="D6" s="323" t="n">
        <x:f>'İstanbul'!F7</x:f>
        <x:v>65078</x:v>
      </x:c>
      <x:c r="E6" s="202" t="n">
        <x:f>'İstanbul'!J7</x:f>
        <x:v>90793.27884900001</x:v>
      </x:c>
      <x:c r="F6" s="324" t="n">
        <x:f>'İstanbul'!F8</x:f>
        <x:v>7158580</x:v>
      </x:c>
      <x:c r="G6" s="325" t="n">
        <x:f>'İstanbul'!J8</x:f>
        <x:v>9987260.673390001</x:v>
      </x:c>
      <x:c r="H6" s="324" t="n">
        <x:f>'İstanbul'!F12</x:f>
        <x:v>44612</x:v>
      </x:c>
      <x:c r="I6" s="326" t="n">
        <x:f>'İstanbul'!J12</x:f>
        <x:v>62240.231046</x:v>
      </x:c>
      <x:c r="J6" s="47"/>
      <x:c r="K6" s="47"/>
    </x:row>
    <x:row r="7">
      <x:c r="A7" s="46" t="str">
        <x:v>Ankara</x:v>
      </x:c>
      <x:c r="B7" s="185" t="n">
        <x:f>'Ankara'!F5</x:f>
        <x:v>144187.40437568258</x:v>
      </x:c>
      <x:c r="C7" s="186" t="n">
        <x:f>'Ankara'!J5</x:f>
        <x:v>158323.1546288891</x:v>
      </x:c>
      <x:c r="D7" s="323" t="n">
        <x:f>'Ankara'!F7</x:f>
        <x:v>38674</x:v>
      </x:c>
      <x:c r="E7" s="202" t="n">
        <x:f>'Ankara'!J7</x:f>
        <x:v>53955.85706700001</x:v>
      </x:c>
      <x:c r="F7" s="324" t="n">
        <x:f>'Ankara'!F8</x:f>
        <x:v>5027620</x:v>
      </x:c>
      <x:c r="G7" s="325" t="n">
        <x:f>'Ankara'!J8</x:f>
        <x:v>7014261.418710002</x:v>
      </x:c>
      <x:c r="H7" s="324" t="n">
        <x:f>'Ankara'!F12</x:f>
        <x:v>33656</x:v>
      </x:c>
      <x:c r="I7" s="326" t="n">
        <x:f>'Ankara'!J12</x:f>
        <x:v>46955.016948000004</x:v>
      </x:c>
      <x:c r="J7" s="47"/>
      <x:c r="K7" s="47"/>
    </x:row>
    <x:row r="8">
      <x:c r="A8" s="56" t="str">
        <x:v>İzmir</x:v>
      </x:c>
      <x:c r="B8" s="327" t="n">
        <x:f>'İzmir'!F5</x:f>
        <x:v>91690.31068242136</x:v>
      </x:c>
      <x:c r="C8" s="328" t="n">
        <x:f>'İzmir'!J5</x:f>
        <x:v>99623.13479379461</x:v>
      </x:c>
      <x:c r="D8" s="329" t="n">
        <x:f>'İzmir'!F7</x:f>
        <x:v>53974</x:v>
      </x:c>
      <x:c r="E8" s="330" t="n">
        <x:f>'İzmir'!J7</x:f>
        <x:v>75301.583217</x:v>
      </x:c>
      <x:c r="F8" s="331" t="n">
        <x:f>'İzmir'!F8</x:f>
        <x:v>6476880</x:v>
      </x:c>
      <x:c r="G8" s="332" t="n">
        <x:f>'İzmir'!J8</x:f>
        <x:v>9036189.98604</x:v>
      </x:c>
      <x:c r="H8" s="331" t="n">
        <x:f>'İzmir'!F12</x:f>
        <x:v>32520</x:v>
      </x:c>
      <x:c r="I8" s="333" t="n">
        <x:f>'İzmir'!J12</x:f>
        <x:v>45370.13166000001</x:v>
      </x:c>
      <x:c r="J8" s="47"/>
      <x:c r="K8" s="47"/>
    </x:row>
    <x:row r="9">
      <x:c r="A9" s="47"/>
      <x:c r="B9" s="47"/>
      <x:c r="C9" s="47"/>
      <x:c r="D9" s="47"/>
      <x:c r="E9" s="47"/>
      <x:c r="F9" s="47"/>
      <x:c r="G9" s="47"/>
      <x:c r="H9" s="47"/>
      <x:c r="I9" s="47"/>
      <x:c r="J9" s="47"/>
      <x:c r="K9" s="47"/>
    </x:row>
    <x:row r="10">
      <x:c r="A10" s="47"/>
      <x:c r="B10" s="47"/>
      <x:c r="C10" s="47"/>
      <x:c r="D10" s="47"/>
      <x:c r="E10" s="47"/>
      <x:c r="F10" s="47"/>
      <x:c r="G10" s="47"/>
      <x:c r="H10" s="47"/>
      <x:c r="I10" s="47"/>
      <x:c r="J10" s="47"/>
      <x:c r="K10" s="47"/>
    </x:row>
    <x:row r="11">
      <x:c r="A11" s="43" t="str">
        <x:v>Yıl</x:v>
      </x:c>
      <x:c r="B11" s="44" t="str">
        <x:v>Türkiye</x:v>
      </x:c>
      <x:c r="C11" s="44" t="str">
        <x:v>İstanbul</x:v>
      </x:c>
      <x:c r="D11" s="44" t="str">
        <x:v>Ankara</x:v>
      </x:c>
      <x:c r="E11" s="45" t="str">
        <x:v>İzmir</x:v>
      </x:c>
      <x:c r="F11" s="47"/>
      <x:c r="G11" s="43" t="str">
        <x:v>Yıl</x:v>
      </x:c>
      <x:c r="H11" s="44" t="str">
        <x:v>Türkiye</x:v>
      </x:c>
      <x:c r="I11" s="44" t="str">
        <x:v>İstanbul</x:v>
      </x:c>
      <x:c r="J11" s="44" t="str">
        <x:v>Ankara</x:v>
      </x:c>
      <x:c r="K11" s="45" t="str">
        <x:v>İzmir</x:v>
      </x:c>
    </x:row>
    <x:row r="12">
      <x:c r="A12" s="46" t="n">
        <x:v>2022</x:v>
      </x:c>
      <x:c r="B12" s="334" t="n">
        <x:f>'Türkiye'!B8</x:f>
        <x:v>1797120</x:v>
      </x:c>
      <x:c r="C12" s="334" t="n">
        <x:f>'İstanbul'!B8</x:f>
        <x:v>2767440</x:v>
      </x:c>
      <x:c r="D12" s="334" t="n">
        <x:f>'Ankara'!B8</x:f>
        <x:v>1357224</x:v>
      </x:c>
      <x:c r="E12" s="335" t="n">
        <x:f>'İzmir'!B8</x:f>
        <x:v>2109480.337078652</x:v>
      </x:c>
      <x:c r="F12" s="47"/>
      <x:c r="G12" s="46" t="n">
        <x:v>2022</x:v>
      </x:c>
      <x:c r="H12" s="334" t="n">
        <x:f>'Türkiye'!B12</x:f>
        <x:v>6924.401913875598</x:v>
      </x:c>
      <x:c r="I12" s="334" t="n">
        <x:f>'İstanbul'!B12</x:f>
        <x:v>9884.269662921348</x:v>
      </x:c>
      <x:c r="J12" s="334" t="n">
        <x:f>'Ankara'!B12</x:f>
        <x:v>5394.67680608365</x:v>
      </x:c>
      <x:c r="K12" s="335" t="n">
        <x:f>'İzmir'!B12</x:f>
        <x:v>7272.146118721462</x:v>
      </x:c>
    </x:row>
    <x:row r="13">
      <x:c r="A13" s="46" t="n">
        <x:v>2023</x:v>
      </x:c>
      <x:c r="B13" s="334" t="n">
        <x:f>'Türkiye'!C8</x:f>
        <x:v>3092700</x:v>
      </x:c>
      <x:c r="C13" s="334" t="n">
        <x:f>'İstanbul'!C8</x:f>
        <x:v>4170130</x:v>
      </x:c>
      <x:c r="D13" s="334" t="n">
        <x:f>'Ankara'!C8</x:f>
        <x:v>2570100</x:v>
      </x:c>
      <x:c r="E13" s="335" t="n">
        <x:f>'İzmir'!C8</x:f>
        <x:v>3754875</x:v>
      </x:c>
      <x:c r="F13" s="47"/>
      <x:c r="G13" s="46" t="n">
        <x:v>2023</x:v>
      </x:c>
      <x:c r="H13" s="334" t="n">
        <x:f>'Türkiye'!C12</x:f>
        <x:v>14472</x:v>
      </x:c>
      <x:c r="I13" s="334" t="n">
        <x:f>'İstanbul'!C12</x:f>
        <x:v>17594</x:v>
      </x:c>
      <x:c r="J13" s="334" t="n">
        <x:f>'Ankara'!C12</x:f>
        <x:v>14188</x:v>
      </x:c>
      <x:c r="K13" s="335" t="n">
        <x:f>'İzmir'!C12</x:f>
        <x:v>15926</x:v>
      </x:c>
    </x:row>
    <x:row r="14">
      <x:c r="A14" s="46" t="n">
        <x:v>2024</x:v>
      </x:c>
      <x:c r="B14" s="334" t="n">
        <x:f>'Türkiye'!D8</x:f>
        <x:v>3800000</x:v>
      </x:c>
      <x:c r="C14" s="334" t="n">
        <x:f>'İstanbul'!D8</x:f>
        <x:v>5100000</x:v>
      </x:c>
      <x:c r="D14" s="334" t="n">
        <x:f>'Ankara'!D8</x:f>
        <x:v>3300000</x:v>
      </x:c>
      <x:c r="E14" s="335" t="n">
        <x:f>'İzmir'!D8</x:f>
        <x:v>4800000</x:v>
      </x:c>
      <x:c r="F14" s="47"/>
      <x:c r="G14" s="46" t="n">
        <x:v>2024</x:v>
      </x:c>
      <x:c r="H14" s="334" t="n">
        <x:f>'Türkiye'!D12</x:f>
        <x:v>20000</x:v>
      </x:c>
      <x:c r="I14" s="334" t="n">
        <x:f>'İstanbul'!D12</x:f>
        <x:v>25331</x:v>
      </x:c>
      <x:c r="J14" s="334" t="n">
        <x:f>'Ankara'!D12</x:f>
        <x:v>21565.760000000002</x:v>
      </x:c>
      <x:c r="K14" s="335" t="n">
        <x:f>'İzmir'!D12</x:f>
        <x:v>24207.52</x:v>
      </x:c>
    </x:row>
    <x:row r="15">
      <x:c r="A15" s="46" t="n">
        <x:v>2025</x:v>
      </x:c>
      <x:c r="B15" s="334" t="n">
        <x:f>'Türkiye'!E8</x:f>
        <x:v>4700000</x:v>
      </x:c>
      <x:c r="C15" s="334" t="n">
        <x:f>'İstanbul'!E8</x:f>
        <x:v>6600000</x:v>
      </x:c>
      <x:c r="D15" s="334" t="n">
        <x:f>'Ankara'!E8</x:f>
        <x:v>4400000</x:v>
      </x:c>
      <x:c r="E15" s="335" t="n">
        <x:f>'İzmir'!E8</x:f>
        <x:v>6000000</x:v>
      </x:c>
      <x:c r="F15" s="47"/>
      <x:c r="G15" s="46" t="n">
        <x:v>2025</x:v>
      </x:c>
      <x:c r="H15" s="334" t="n">
        <x:f>'Türkiye'!E12</x:f>
        <x:v>25380</x:v>
      </x:c>
      <x:c r="I15" s="334" t="n">
        <x:f>'İstanbul'!E12</x:f>
        <x:v>33823</x:v>
      </x:c>
      <x:c r="J15" s="334" t="n">
        <x:f>'Ankara'!E12</x:f>
        <x:v>29092.210240000004</x:v>
      </x:c>
      <x:c r="K15" s="335" t="n">
        <x:f>'İzmir'!E12</x:f>
        <x:v>30114.15488</x:v>
      </x:c>
    </x:row>
    <x:row r="16">
      <x:c r="A16" s="46" t="n">
        <x:v>2026</x:v>
      </x:c>
      <x:c r="B16" s="334" t="n">
        <x:f>'Türkiye'!F8</x:f>
        <x:v>5212875</x:v>
      </x:c>
      <x:c r="C16" s="334" t="n">
        <x:f>'İstanbul'!F8</x:f>
        <x:v>7158580</x:v>
      </x:c>
      <x:c r="D16" s="334" t="n">
        <x:f>'Ankara'!F8</x:f>
        <x:v>5027620</x:v>
      </x:c>
      <x:c r="E16" s="335" t="n">
        <x:f>'İzmir'!F8</x:f>
        <x:v>6476880</x:v>
      </x:c>
      <x:c r="F16" s="47"/>
      <x:c r="G16" s="46" t="n">
        <x:v>2026</x:v>
      </x:c>
      <x:c r="H16" s="334" t="n">
        <x:f>'Türkiye'!F12</x:f>
        <x:v>27633</x:v>
      </x:c>
      <x:c r="I16" s="334" t="n">
        <x:f>'İstanbul'!F12</x:f>
        <x:v>44612</x:v>
      </x:c>
      <x:c r="J16" s="334" t="n">
        <x:f>'Ankara'!F12</x:f>
        <x:v>33656</x:v>
      </x:c>
      <x:c r="K16" s="335" t="n">
        <x:f>'İzmir'!F12</x:f>
        <x:v>32520</x:v>
      </x:c>
    </x:row>
    <x:row r="17">
      <x:c r="A17" s="46" t="n">
        <x:v>2027</x:v>
      </x:c>
      <x:c r="B17" s="334" t="n">
        <x:f>'Türkiye'!G8</x:f>
        <x:v>5994806.25</x:v>
      </x:c>
      <x:c r="C17" s="334" t="n">
        <x:f>'İstanbul'!G8</x:f>
        <x:v>8232367</x:v>
      </x:c>
      <x:c r="D17" s="334" t="n">
        <x:f>'Ankara'!G8</x:f>
        <x:v>5781763</x:v>
      </x:c>
      <x:c r="E17" s="335" t="n">
        <x:f>'İzmir'!G8</x:f>
        <x:v>7448412</x:v>
      </x:c>
      <x:c r="F17" s="47"/>
      <x:c r="G17" s="46" t="n">
        <x:v>2027</x:v>
      </x:c>
      <x:c r="H17" s="334" t="n">
        <x:f>'Türkiye'!G12</x:f>
        <x:v>31777.95</x:v>
      </x:c>
      <x:c r="I17" s="334" t="n">
        <x:f>'İstanbul'!G12</x:f>
        <x:v>51303.79999999999</x:v>
      </x:c>
      <x:c r="J17" s="334" t="n">
        <x:f>'Ankara'!G12</x:f>
        <x:v>38704.399999999994</x:v>
      </x:c>
      <x:c r="K17" s="335" t="n">
        <x:f>'İzmir'!G12</x:f>
        <x:v>37398</x:v>
      </x:c>
    </x:row>
    <x:row r="18">
      <x:c r="A18" s="46" t="n">
        <x:v>2028</x:v>
      </x:c>
      <x:c r="B18" s="334" t="n">
        <x:f>'Türkiye'!H8</x:f>
        <x:v>6534338.8125</x:v>
      </x:c>
      <x:c r="C18" s="334" t="n">
        <x:f>'İstanbul'!H8</x:f>
        <x:v>8973280.03</x:v>
      </x:c>
      <x:c r="D18" s="334" t="n">
        <x:f>'Ankara'!H8</x:f>
        <x:v>6302121.670000001</x:v>
      </x:c>
      <x:c r="E18" s="335" t="n">
        <x:f>'İzmir'!H8</x:f>
        <x:v>8118769.08</x:v>
      </x:c>
      <x:c r="F18" s="47"/>
      <x:c r="G18" s="46" t="n">
        <x:v>2028</x:v>
      </x:c>
      <x:c r="H18" s="334" t="n">
        <x:f>'Türkiye'!H12</x:f>
        <x:v>34637.9655</x:v>
      </x:c>
      <x:c r="I18" s="334" t="n">
        <x:f>'İstanbul'!H12</x:f>
        <x:v>55921.14199999999</x:v>
      </x:c>
      <x:c r="J18" s="334" t="n">
        <x:f>'Ankara'!H12</x:f>
        <x:v>42187.796</x:v>
      </x:c>
      <x:c r="K18" s="335" t="n">
        <x:f>'İzmir'!H12</x:f>
        <x:v>40763.82</x:v>
      </x:c>
    </x:row>
    <x:row r="19">
      <x:c r="A19" s="46" t="n">
        <x:v>2029</x:v>
      </x:c>
      <x:c r="B19" s="334" t="n">
        <x:f>'Türkiye'!I8</x:f>
        <x:v>6926399.141250001</x:v>
      </x:c>
      <x:c r="C19" s="334" t="n">
        <x:f>'İstanbul'!I8</x:f>
        <x:v>9511676.8318</x:v>
      </x:c>
      <x:c r="D19" s="334" t="n">
        <x:f>'Ankara'!I8</x:f>
        <x:v>6680248.970200001</x:v>
      </x:c>
      <x:c r="E19" s="335" t="n">
        <x:f>'İzmir'!I8</x:f>
        <x:v>8605895.2248</x:v>
      </x:c>
      <x:c r="F19" s="47"/>
      <x:c r="G19" s="46" t="n">
        <x:v>2029</x:v>
      </x:c>
      <x:c r="H19" s="334" t="n">
        <x:f>'Türkiye'!I12</x:f>
        <x:v>36716.24343</x:v>
      </x:c>
      <x:c r="I19" s="334" t="n">
        <x:f>'İstanbul'!I12</x:f>
        <x:v>59276.41052</x:v>
      </x:c>
      <x:c r="J19" s="334" t="n">
        <x:f>'Ankara'!I12</x:f>
        <x:v>44719.06376</x:v>
      </x:c>
      <x:c r="K19" s="335" t="n">
        <x:f>'İzmir'!I12</x:f>
        <x:v>43209.64920000001</x:v>
      </x:c>
    </x:row>
    <x:row r="20">
      <x:c r="A20" s="56" t="n">
        <x:v>2030</x:v>
      </x:c>
      <x:c r="B20" s="336" t="n">
        <x:f>'Türkiye'!J8</x:f>
        <x:v>7272719.098312501</x:v>
      </x:c>
      <x:c r="C20" s="336" t="n">
        <x:f>'İstanbul'!J8</x:f>
        <x:v>9987260.673390001</x:v>
      </x:c>
      <x:c r="D20" s="336" t="n">
        <x:f>'Ankara'!J8</x:f>
        <x:v>7014261.418710002</x:v>
      </x:c>
      <x:c r="E20" s="337" t="n">
        <x:f>'İzmir'!J8</x:f>
        <x:v>9036189.98604</x:v>
      </x:c>
      <x:c r="F20" s="47"/>
      <x:c r="G20" s="56" t="n">
        <x:v>2030</x:v>
      </x:c>
      <x:c r="H20" s="336" t="n">
        <x:f>'Türkiye'!J12</x:f>
        <x:v>38552.055601500004</x:v>
      </x:c>
      <x:c r="I20" s="336" t="n">
        <x:f>'İstanbul'!J12</x:f>
        <x:v>62240.231046</x:v>
      </x:c>
      <x:c r="J20" s="336" t="n">
        <x:f>'Ankara'!J12</x:f>
        <x:v>46955.016948000004</x:v>
      </x:c>
      <x:c r="K20" s="337" t="n">
        <x:f>'İzmir'!J12</x:f>
        <x:v>45370.13166000001</x:v>
      </x:c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73dfdfefc1c44f86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4" hidden="0" customWidth="1"/>
    <x:col min="4" max="4" width="42" hidden="0" customWidth="1"/>
    <x:col min="5" max="5" width="28" hidden="0" customWidth="1"/>
    <x:col min="6" max="6" width="18" hidden="0" customWidth="1"/>
  </x:cols>
  <x:sheetData>
    <x:row r="1">
      <x:c r="A1" s="43" t="str">
        <x:v>Model Varsayımları ve Girdi Kontrolleri</x:v>
      </x:c>
      <x:c r="B1" s="44"/>
      <x:c r="C1" s="44"/>
      <x:c r="D1" s="44"/>
      <x:c r="E1" s="44"/>
      <x:c r="F1" s="45"/>
    </x:row>
    <x:row r="2">
      <x:c r="A2" s="46"/>
      <x:c r="B2" s="47"/>
      <x:c r="C2" s="47"/>
      <x:c r="D2" s="47"/>
      <x:c r="E2" s="47"/>
      <x:c r="F2" s="48"/>
    </x:row>
    <x:row r="3">
      <x:c r="A3" s="46" t="str">
        <x:v>2026 Ocak-Temmuz satış adedi</x:v>
      </x:c>
      <x:c r="B3" s="49" t="n">
        <x:v>823119</x:v>
      </x:c>
      <x:c r="C3" s="47"/>
      <x:c r="D3" s="47"/>
      <x:c r="E3" s="47"/>
      <x:c r="F3" s="48"/>
    </x:row>
    <x:row r="4">
      <x:c r="A4" s="46" t="str">
        <x:v>2025 Ocak-Temmuz satış adedi</x:v>
      </x:c>
      <x:c r="B4" s="49" t="n">
        <x:v>870767</x:v>
      </x:c>
      <x:c r="C4" s="47"/>
      <x:c r="D4" s="47"/>
      <x:c r="E4" s="47"/>
      <x:c r="F4" s="48"/>
    </x:row>
    <x:row r="5">
      <x:c r="A5" s="46" t="str">
        <x:v>2026 yıllıklandırma oranı</x:v>
      </x:c>
      <x:c r="B5" s="50" t="n">
        <x:f>B3/B4</x:f>
        <x:v>0.9452804251883684</x:v>
      </x:c>
      <x:c r="C5" s="47"/>
      <x:c r="D5" s="47"/>
      <x:c r="E5" s="47"/>
      <x:c r="F5" s="48"/>
    </x:row>
    <x:row r="6">
      <x:c r="A6" s="46"/>
      <x:c r="B6" s="47"/>
      <x:c r="C6" s="47"/>
      <x:c r="D6" s="47"/>
      <x:c r="E6" s="47"/>
      <x:c r="F6" s="48"/>
    </x:row>
    <x:row r="7">
      <x:c r="A7" s="51" t="str">
        <x:v>Fiyat artış patikası</x:v>
      </x:c>
      <x:c r="B7" s="52" t="n">
        <x:v>2027</x:v>
      </x:c>
      <x:c r="C7" s="52" t="n">
        <x:v>2028</x:v>
      </x:c>
      <x:c r="D7" s="52" t="n">
        <x:v>2029</x:v>
      </x:c>
      <x:c r="E7" s="52" t="n">
        <x:v>2030</x:v>
      </x:c>
      <x:c r="F7" s="48"/>
    </x:row>
    <x:row r="8">
      <x:c r="A8" s="46" t="str">
        <x:v>Nominal artış</x:v>
      </x:c>
      <x:c r="B8" s="53" t="n">
        <x:v>0.15</x:v>
      </x:c>
      <x:c r="C8" s="53" t="n">
        <x:v>0.09</x:v>
      </x:c>
      <x:c r="D8" s="53" t="n">
        <x:v>0.06</x:v>
      </x:c>
      <x:c r="E8" s="53" t="n">
        <x:v>0.05</x:v>
      </x:c>
      <x:c r="F8" s="48"/>
    </x:row>
    <x:row r="9">
      <x:c r="A9" s="46"/>
      <x:c r="B9" s="47"/>
      <x:c r="C9" s="47"/>
      <x:c r="D9" s="47"/>
      <x:c r="E9" s="47"/>
      <x:c r="F9" s="48"/>
    </x:row>
    <x:row r="10">
      <x:c r="A10" s="46" t="str">
        <x:v>Uzun dönem işlem adedi büyümesi</x:v>
      </x:c>
      <x:c r="B10" s="53" t="n">
        <x:v>0.02</x:v>
      </x:c>
      <x:c r="C10" s="47"/>
      <x:c r="D10" s="47"/>
      <x:c r="E10" s="47"/>
      <x:c r="F10" s="48"/>
    </x:row>
    <x:row r="11">
      <x:c r="A11" s="46"/>
      <x:c r="B11" s="47"/>
      <x:c r="C11" s="47"/>
      <x:c r="D11" s="47"/>
      <x:c r="E11" s="47"/>
      <x:c r="F11" s="48"/>
    </x:row>
    <x:row r="12">
      <x:c r="A12" s="51" t="str">
        <x:v>Coğrafya</x:v>
      </x:c>
      <x:c r="B12" s="52" t="str">
        <x:v>2025 kira m² YoY</x:v>
      </x:c>
      <x:c r="C12" s="52" t="str">
        <x:v>2023 ort. kira YoY</x:v>
      </x:c>
      <x:c r="D12" s="52" t="str">
        <x:v>2024 ort. kira model YoY</x:v>
      </x:c>
      <x:c r="E12" s="52" t="str">
        <x:v>İzmir 2023 satış YoY</x:v>
      </x:c>
      <x:c r="F12" s="48"/>
    </x:row>
    <x:row r="13">
      <x:c r="A13" s="46" t="str">
        <x:v>Türkiye</x:v>
      </x:c>
      <x:c r="B13" s="53" t="n">
        <x:v>0.279</x:v>
      </x:c>
      <x:c r="C13" s="53" t="n">
        <x:v>1.09</x:v>
      </x:c>
      <x:c r="D13" s="53"/>
      <x:c r="E13" s="53"/>
      <x:c r="F13" s="48"/>
    </x:row>
    <x:row r="14">
      <x:c r="A14" s="46" t="str">
        <x:v>İstanbul</x:v>
      </x:c>
      <x:c r="B14" s="53" t="n">
        <x:v>0.367</x:v>
      </x:c>
      <x:c r="C14" s="53" t="n">
        <x:v>0.78</x:v>
      </x:c>
      <x:c r="D14" s="53"/>
      <x:c r="E14" s="53"/>
      <x:c r="F14" s="48"/>
    </x:row>
    <x:row r="15">
      <x:c r="A15" s="46" t="str">
        <x:v>Ankara</x:v>
      </x:c>
      <x:c r="B15" s="53" t="n">
        <x:v>0.349</x:v>
      </x:c>
      <x:c r="C15" s="53" t="n">
        <x:v>1.63</x:v>
      </x:c>
      <x:c r="D15" s="53" t="n">
        <x:v>0.52</x:v>
      </x:c>
      <x:c r="E15" s="53"/>
      <x:c r="F15" s="48"/>
    </x:row>
    <x:row r="16">
      <x:c r="A16" s="46" t="str">
        <x:v>İzmir</x:v>
      </x:c>
      <x:c r="B16" s="53" t="n">
        <x:v>0.244</x:v>
      </x:c>
      <x:c r="C16" s="53" t="n">
        <x:v>1.19</x:v>
      </x:c>
      <x:c r="D16" s="53" t="n">
        <x:v>0.52</x:v>
      </x:c>
      <x:c r="E16" s="53" t="n">
        <x:v>0.78</x:v>
      </x:c>
      <x:c r="F16" s="48"/>
    </x:row>
    <x:row r="17">
      <x:c r="A17" s="46"/>
      <x:c r="B17" s="47"/>
      <x:c r="C17" s="47"/>
      <x:c r="D17" s="47"/>
      <x:c r="E17" s="47"/>
      <x:c r="F17" s="48"/>
    </x:row>
    <x:row r="18">
      <x:c r="A18" s="51" t="str">
        <x:v>Coğrafya</x:v>
      </x:c>
      <x:c r="B18" s="52" t="str">
        <x:v>2024 Proxy artışı</x:v>
      </x:c>
      <x:c r="C18" s="52" t="str">
        <x:v>2025 Proxy artışı</x:v>
      </x:c>
      <x:c r="D18" s="52" t="str">
        <x:v>2026 Proxy artışı</x:v>
      </x:c>
      <x:c r="E18" s="52" t="str">
        <x:v>Not</x:v>
      </x:c>
      <x:c r="F18" s="48"/>
    </x:row>
    <x:row r="19">
      <x:c r="A19" s="46" t="str">
        <x:v>Türkiye</x:v>
      </x:c>
      <x:c r="B19" s="53" t="n">
        <x:v>0.05</x:v>
      </x:c>
      <x:c r="C19" s="53" t="n">
        <x:v>0.04</x:v>
      </x:c>
      <x:c r="D19" s="53" t="n">
        <x:v>0.04</x:v>
      </x:c>
      <x:c r="E19" s="47" t="str">
        <x:v>Model</x:v>
      </x:c>
      <x:c r="F19" s="48"/>
    </x:row>
    <x:row r="20">
      <x:c r="A20" s="46" t="str">
        <x:v>İstanbul</x:v>
      </x:c>
      <x:c r="B20" s="53" t="n">
        <x:v>0.03</x:v>
      </x:c>
      <x:c r="C20" s="53" t="n">
        <x:v>0.03</x:v>
      </x:c>
      <x:c r="D20" s="53" t="n">
        <x:v>0.03</x:v>
      </x:c>
      <x:c r="E20" s="47" t="str">
        <x:v>Model</x:v>
      </x:c>
      <x:c r="F20" s="48"/>
    </x:row>
    <x:row r="21">
      <x:c r="A21" s="46" t="str">
        <x:v>Ankara</x:v>
      </x:c>
      <x:c r="B21" s="53" t="n">
        <x:v>0.06</x:v>
      </x:c>
      <x:c r="C21" s="53" t="n">
        <x:v>0.05</x:v>
      </x:c>
      <x:c r="D21" s="53" t="n">
        <x:v>0.05</x:v>
      </x:c>
      <x:c r="E21" s="47" t="str">
        <x:v>Model</x:v>
      </x:c>
      <x:c r="F21" s="48"/>
    </x:row>
    <x:row r="22">
      <x:c r="A22" s="46" t="str">
        <x:v>İzmir</x:v>
      </x:c>
      <x:c r="B22" s="53" t="n">
        <x:v>0.06</x:v>
      </x:c>
      <x:c r="C22" s="53" t="n">
        <x:v>0.05</x:v>
      </x:c>
      <x:c r="D22" s="53" t="n">
        <x:v>0.05</x:v>
      </x:c>
      <x:c r="E22" s="47" t="str">
        <x:v>Model</x:v>
      </x:c>
      <x:c r="F22" s="48"/>
    </x:row>
    <x:row r="23">
      <x:c r="A23" s="46"/>
      <x:c r="B23" s="47"/>
      <x:c r="C23" s="47"/>
      <x:c r="D23" s="47"/>
      <x:c r="E23" s="47"/>
      <x:c r="F23" s="48"/>
    </x:row>
    <x:row r="24">
      <x:c r="A24" s="51" t="str">
        <x:v>Coğrafya</x:v>
      </x:c>
      <x:c r="B24" s="52" t="str">
        <x:v>2022 proxy/yıl</x:v>
      </x:c>
      <x:c r="C24" s="52" t="str">
        <x:v>2023 proxy/yıl</x:v>
      </x:c>
      <x:c r="D24" s="52" t="str">
        <x:v>Açıklama 2022</x:v>
      </x:c>
      <x:c r="E24" s="52" t="str">
        <x:v>Açıklama 2023</x:v>
      </x:c>
      <x:c r="F24" s="54" t="str">
        <x:v>Kaynak</x:v>
      </x:c>
    </x:row>
    <x:row r="25">
      <x:c r="A25" s="46" t="str">
        <x:v>Türkiye</x:v>
      </x:c>
      <x:c r="B25" s="55" t="n">
        <x:v>451812</x:v>
      </x:c>
      <x:c r="C25" s="55" t="n">
        <x:v>484260</x:v>
      </x:c>
      <x:c r="D25" s="47" t="str">
        <x:v>Aralık ayı kiralanan ilan göstergesi ×12</x:v>
      </x:c>
      <x:c r="E25" s="47" t="str">
        <x:v>Aralık ayı ×12</x:v>
      </x:c>
      <x:c r="F25" s="48" t="str">
        <x:v>S25/S27</x:v>
      </x:c>
    </x:row>
    <x:row r="26">
      <x:c r="A26" s="46" t="str">
        <x:v>İstanbul</x:v>
      </x:c>
      <x:c r="B26" s="55" t="n">
        <x:v>140944.608</x:v>
      </x:c>
      <x:c r="C26" s="55" t="n">
        <x:v>155616</x:v>
      </x:c>
      <x:c r="D26" s="47" t="str">
        <x:v>İlan sayısı × kiralanma oranı ×12</x:v>
      </x:c>
      <x:c r="E26" s="47" t="str">
        <x:v>Aralık ayı ×12</x:v>
      </x:c>
      <x:c r="F26" s="48" t="str">
        <x:v>S26/S27</x:v>
      </x:c>
    </x:row>
    <x:row r="27">
      <x:c r="A27" s="46" t="str">
        <x:v>Ankara</x:v>
      </x:c>
      <x:c r="B27" s="55" t="n">
        <x:v>36561.912</x:v>
      </x:c>
      <x:c r="C27" s="55" t="n">
        <x:v>35664</x:v>
      </x:c>
      <x:c r="D27" s="47" t="str">
        <x:v>İlan sayısı × kiralanma oranı ×12</x:v>
      </x:c>
      <x:c r="E27" s="47" t="str">
        <x:v>Aralık ayı ×12</x:v>
      </x:c>
      <x:c r="F27" s="48" t="str">
        <x:v>S26/S27</x:v>
      </x:c>
    </x:row>
    <x:row r="28">
      <x:c r="A28" s="46" t="str">
        <x:v>İzmir</x:v>
      </x:c>
      <x:c r="B28" s="55" t="n">
        <x:v>29366.028</x:v>
      </x:c>
      <x:c r="C28" s="55" t="n">
        <x:v>29724</x:v>
      </x:c>
      <x:c r="D28" s="47" t="str">
        <x:v>İlan sayısı × kiralanma oranı ×12</x:v>
      </x:c>
      <x:c r="E28" s="47" t="str">
        <x:v>Aralık ayı ×12</x:v>
      </x:c>
      <x:c r="F28" s="48" t="str">
        <x:v>S26/S27</x:v>
      </x:c>
    </x:row>
    <x:row r="29">
      <x:c r="A29" s="46"/>
      <x:c r="B29" s="47"/>
      <x:c r="C29" s="47"/>
      <x:c r="D29" s="47"/>
      <x:c r="E29" s="47"/>
      <x:c r="F29" s="48"/>
    </x:row>
    <x:row r="30">
      <x:c r="A30" s="51" t="str">
        <x:v>Model detayı</x:v>
      </x:c>
      <x:c r="B30" s="52" t="str">
        <x:v>Değer</x:v>
      </x:c>
      <x:c r="C30" s="47"/>
      <x:c r="D30" s="47"/>
      <x:c r="E30" s="47"/>
      <x:c r="F30" s="48"/>
    </x:row>
    <x:row r="31">
      <x:c r="A31" s="46" t="str">
        <x:v>2027 işlem büyümesi ağırlığı (4Y CAGR)</x:v>
      </x:c>
      <x:c r="B31" s="53" t="n">
        <x:v>0.5</x:v>
      </x:c>
      <x:c r="C31" s="47"/>
      <x:c r="D31" s="47"/>
      <x:c r="E31" s="47"/>
      <x:c r="F31" s="48"/>
    </x:row>
    <x:row r="32">
      <x:c r="A32" s="46" t="str">
        <x:v>2028 işlem büyümesi ağırlığı (4Y CAGR)</x:v>
      </x:c>
      <x:c r="B32" s="53" t="n">
        <x:v>0.35</x:v>
      </x:c>
      <x:c r="C32" s="47"/>
      <x:c r="D32" s="47"/>
      <x:c r="E32" s="47"/>
      <x:c r="F32" s="48"/>
    </x:row>
    <x:row r="33">
      <x:c r="A33" s="46" t="str">
        <x:v>2029 işlem büyümesi ağırlığı (4Y CAGR)</x:v>
      </x:c>
      <x:c r="B33" s="53" t="n">
        <x:v>0.2</x:v>
      </x:c>
      <x:c r="C33" s="47"/>
      <x:c r="D33" s="47"/>
      <x:c r="E33" s="47"/>
      <x:c r="F33" s="48"/>
    </x:row>
    <x:row r="34">
      <x:c r="A34" s="46"/>
      <x:c r="B34" s="47"/>
      <x:c r="C34" s="47"/>
      <x:c r="D34" s="47"/>
      <x:c r="E34" s="47"/>
      <x:c r="F34" s="48"/>
    </x:row>
    <x:row r="35">
      <x:c r="A35" s="51" t="str">
        <x:v>Kaynak/Varsayım</x:v>
      </x:c>
      <x:c r="B35" s="52" t="str">
        <x:v>Değer</x:v>
      </x:c>
      <x:c r="C35" s="52" t="str">
        <x:v>Kaynak ID</x:v>
      </x:c>
      <x:c r="D35" s="52" t="str">
        <x:v>URL / açıklama</x:v>
      </x:c>
      <x:c r="E35" s="52" t="str">
        <x:v>Kullanım</x:v>
      </x:c>
      <x:c r="F35" s="54" t="str">
        <x:v>Durum</x:v>
      </x:c>
    </x:row>
    <x:row r="36">
      <x:c r="A36" s="46" t="str">
        <x:v>2027 enflasyon tahmini</x:v>
      </x:c>
      <x:c r="B36" s="50" t="n">
        <x:v>0.15</x:v>
      </x:c>
      <x:c r="C36" s="47" t="str">
        <x:v>S28/S29</x:v>
      </x:c>
      <x:c r="D36" s="47" t="str">
        <x:v>TCMB + AA</x:v>
      </x:c>
      <x:c r="E36" s="47" t="str">
        <x:v>Fiyat/kira m² artış çıpası</x:v>
      </x:c>
      <x:c r="F36" s="48" t="str">
        <x:v>Resmî tahmin</x:v>
      </x:c>
    </x:row>
    <x:row r="37">
      <x:c r="A37" s="46" t="str">
        <x:v>2028 enflasyon tahmini</x:v>
      </x:c>
      <x:c r="B37" s="50" t="n">
        <x:v>0.09</x:v>
      </x:c>
      <x:c r="C37" s="47" t="str">
        <x:v>S28/S29</x:v>
      </x:c>
      <x:c r="D37" s="47" t="str">
        <x:v>TCMB + AA</x:v>
      </x:c>
      <x:c r="E37" s="47" t="str">
        <x:v>Fiyat/kira m² artış çıpası</x:v>
      </x:c>
      <x:c r="F37" s="48" t="str">
        <x:v>Resmî tahmin</x:v>
      </x:c>
    </x:row>
    <x:row r="38">
      <x:c r="A38" s="46" t="str">
        <x:v>2029 model patikası</x:v>
      </x:c>
      <x:c r="B38" s="50" t="n">
        <x:v>0.06</x:v>
      </x:c>
      <x:c r="C38" s="47" t="str">
        <x:v>Model</x:v>
      </x:c>
      <x:c r="D38" s="47" t="str">
        <x:v>%9'dan %5 hedefe geçiş</x:v>
      </x:c>
      <x:c r="E38" s="47" t="str">
        <x:v>Fiyat/kira m² artışı</x:v>
      </x:c>
      <x:c r="F38" s="48" t="str">
        <x:v>Model varsayımı</x:v>
      </x:c>
    </x:row>
    <x:row r="39">
      <x:c r="A39" s="46" t="str">
        <x:v>2030 model patikası</x:v>
      </x:c>
      <x:c r="B39" s="50" t="n">
        <x:v>0.05</x:v>
      </x:c>
      <x:c r="C39" s="47" t="str">
        <x:v>Model</x:v>
      </x:c>
      <x:c r="D39" s="47" t="str">
        <x:v>TCMB orta vadeli %5 hedef</x:v>
      </x:c>
      <x:c r="E39" s="47" t="str">
        <x:v>Fiyat/kira m² artışı</x:v>
      </x:c>
      <x:c r="F39" s="48" t="str">
        <x:v>Model varsayımı</x:v>
      </x:c>
    </x:row>
    <x:row r="40">
      <x:c r="A40" s="46" t="str">
        <x:v>2026 satış yıllıklandırma</x:v>
      </x:c>
      <x:c r="B40" s="50" t="n">
        <x:v>0.9452804251883684</x:v>
      </x:c>
      <x:c r="C40" s="47" t="str">
        <x:v>S04/S05</x:v>
      </x:c>
      <x:c r="D40" s="47" t="str">
        <x:v>2026 Oca-Tem / 2025 Oca-Tem</x:v>
      </x:c>
      <x:c r="E40" s="47" t="str">
        <x:v>2025 tam yıl × oran</x:v>
      </x:c>
      <x:c r="F40" s="48" t="str">
        <x:v>Model</x:v>
      </x:c>
    </x:row>
    <x:row r="41">
      <x:c r="A41" s="56" t="str">
        <x:v>Uzun dönem işlem büyümesi</x:v>
      </x:c>
      <x:c r="B41" s="57" t="n">
        <x:v>0.02</x:v>
      </x:c>
      <x:c r="C41" s="58" t="str">
        <x:v>Model</x:v>
      </x:c>
      <x:c r="D41" s="58" t="str">
        <x:v>Durağan hacim varsayımı</x:v>
      </x:c>
      <x:c r="E41" s="58" t="str">
        <x:v>Satış ve kira proxy</x:v>
      </x:c>
      <x:c r="F41" s="59" t="str">
        <x:v>Model varsayımı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38" hidden="0" customWidth="1"/>
    <x:col min="4" max="4" width="64" hidden="0" customWidth="1"/>
    <x:col min="5" max="5" width="40" hidden="0" customWidth="1"/>
    <x:col min="6" max="6" width="22" hidden="0" customWidth="1"/>
  </x:cols>
  <x:sheetData>
    <x:row r="1">
      <x:c r="A1" s="43" t="str">
        <x:v>Kaynak ID</x:v>
      </x:c>
      <x:c r="B1" s="44" t="str">
        <x:v>Kurum / Yayın</x:v>
      </x:c>
      <x:c r="C1" s="44" t="str">
        <x:v>Başlık</x:v>
      </x:c>
      <x:c r="D1" s="44" t="str">
        <x:v>URL</x:v>
      </x:c>
      <x:c r="E1" s="44" t="str">
        <x:v>Kullanım</x:v>
      </x:c>
      <x:c r="F1" s="45" t="str">
        <x:v>Güven / Tür</x:v>
      </x:c>
    </x:row>
    <x:row r="2">
      <x:c r="A2" s="46" t="str">
        <x:v>S01</x:v>
      </x:c>
      <x:c r="B2" s="47" t="str">
        <x:v>TÜİK</x:v>
      </x:c>
      <x:c r="C2" s="47" t="str">
        <x:v>Konut Satış İstatistikleri, Aralık 2022</x:v>
      </x:c>
      <x:c r="D2" s="47" t="str">
        <x:v>https://veriportali.tuik.gov.tr/Bulten/Index?dil=1&amp;p=Konut-Satis-Istatistikleri-Aralik-2022-49526</x:v>
      </x:c>
      <x:c r="E2" s="47" t="str">
        <x:v>2022 Türkiye ve il satış adetleri</x:v>
      </x:c>
      <x:c r="F2" s="48" t="str">
        <x:v>Birincil resmî</x:v>
      </x:c>
    </x:row>
    <x:row r="3">
      <x:c r="A3" s="46" t="str">
        <x:v>S02</x:v>
      </x:c>
      <x:c r="B3" s="47" t="str">
        <x:v>TÜİK</x:v>
      </x:c>
      <x:c r="C3" s="47" t="str">
        <x:v>Konut Satış İstatistikleri, Aralık 2023</x:v>
      </x:c>
      <x:c r="D3" s="47" t="str">
        <x:v>https://veriportali.tuik.gov.tr/tr/press/49516</x:v>
      </x:c>
      <x:c r="E3" s="47" t="str">
        <x:v>2023 Türkiye ve il satış adetleri</x:v>
      </x:c>
      <x:c r="F3" s="48" t="str">
        <x:v>Birincil resmî</x:v>
      </x:c>
    </x:row>
    <x:row r="4">
      <x:c r="A4" s="46" t="str">
        <x:v>S03</x:v>
      </x:c>
      <x:c r="B4" s="47" t="str">
        <x:v>TÜİK</x:v>
      </x:c>
      <x:c r="C4" s="47" t="str">
        <x:v>Konut Satış İstatistikleri, Aralık 2024</x:v>
      </x:c>
      <x:c r="D4" s="47" t="str">
        <x:v>https://veriportali.tuik.gov.tr/tr/press/54146</x:v>
      </x:c>
      <x:c r="E4" s="47" t="str">
        <x:v>2024 Türkiye ve il satış adetleri</x:v>
      </x:c>
      <x:c r="F4" s="48" t="str">
        <x:v>Birincil resmî</x:v>
      </x:c>
    </x:row>
    <x:row r="5">
      <x:c r="A5" s="46" t="str">
        <x:v>S04</x:v>
      </x:c>
      <x:c r="B5" s="47" t="str">
        <x:v>TÜİK</x:v>
      </x:c>
      <x:c r="C5" s="47" t="str">
        <x:v>Konut Satış İstatistikleri, Aralık 2025</x:v>
      </x:c>
      <x:c r="D5" s="47" t="str">
        <x:v>https://veriportali.tuik.gov.tr/tr/press/58350</x:v>
      </x:c>
      <x:c r="E5" s="47" t="str">
        <x:v>2025 Türkiye ve il satış adetleri</x:v>
      </x:c>
      <x:c r="F5" s="48" t="str">
        <x:v>Birincil resmî</x:v>
      </x:c>
    </x:row>
    <x:row r="6">
      <x:c r="A6" s="46" t="str">
        <x:v>S05</x:v>
      </x:c>
      <x:c r="B6" s="47" t="str">
        <x:v>TÜİK</x:v>
      </x:c>
      <x:c r="C6" s="47" t="str">
        <x:v>Konut Satış İstatistikleri, Temmuz 2026</x:v>
      </x:c>
      <x:c r="D6" s="47" t="str">
        <x:v>https://veriportali.tuik.gov.tr/tr/press/58339</x:v>
      </x:c>
      <x:c r="E6" s="47" t="str">
        <x:v>2026 Ocak-Temmuz satış temposu; 2026E yıllıklandırma</x:v>
      </x:c>
      <x:c r="F6" s="48" t="str">
        <x:v>Birincil resmî</x:v>
      </x:c>
    </x:row>
    <x:row r="7">
      <x:c r="A7" s="46" t="str">
        <x:v>S06</x:v>
      </x:c>
      <x:c r="B7" s="47" t="str">
        <x:v>Endeksa verisi / EmlakDream</x:v>
      </x:c>
      <x:c r="C7" s="47" t="str">
        <x:v>Aralık 2022 satılık konut fiyatları</x:v>
      </x:c>
      <x:c r="D7" s="47" t="str">
        <x:v>https://www.emlakdream.com/turkiyede-ortalama-bir-ev-fiyati-1-8-milyon-tlye-yukseldi/</x:v>
      </x:c>
      <x:c r="E7" s="47" t="str">
        <x:v>2022 satılık m² ve ortalama fiyat</x:v>
      </x:c>
      <x:c r="F7" s="48" t="str">
        <x:v>İkincil, Endeksa aktarımı</x:v>
      </x:c>
    </x:row>
    <x:row r="8">
      <x:c r="A8" s="46" t="str">
        <x:v>S07</x:v>
      </x:c>
      <x:c r="B8" s="47" t="str">
        <x:v>Endeksa verisi / Gayrimenkul Haber</x:v>
      </x:c>
      <x:c r="C8" s="47" t="str">
        <x:v>Aralık 2023 satılık konut fiyatları</x:v>
      </x:c>
      <x:c r="D8" s="47" t="str">
        <x:v>https://www.gayrimenkulhaber.com/emlak-haberleri/turkiyede-ortalama-konut-fiyati-3-milyon-92-bin-700-tl-oldu/</x:v>
      </x:c>
      <x:c r="E8" s="47" t="str">
        <x:v>2023 satılık m² ve ortalama fiyat</x:v>
      </x:c>
      <x:c r="F8" s="48" t="str">
        <x:v>İkincil, Endeksa aktarımı</x:v>
      </x:c>
    </x:row>
    <x:row r="9">
      <x:c r="A9" s="46" t="str">
        <x:v>S08</x:v>
      </x:c>
      <x:c r="B9" s="47" t="str">
        <x:v>Endeksa verisi / Gayrimenkul Haber</x:v>
      </x:c>
      <x:c r="C9" s="47" t="str">
        <x:v>2024 Yıllık Gayrimenkul Değer Raporu</x:v>
      </x:c>
      <x:c r="D9" s="47" t="str">
        <x:v>https://www.gayrimenkulhaber.com/guncel/endeksa-2024-yillik-gayrimenkul-deger-raporu-yayimlandi/</x:v>
      </x:c>
      <x:c r="E9" s="47" t="str">
        <x:v>2024 satış ve kira göstergeleri</x:v>
      </x:c>
      <x:c r="F9" s="48" t="str">
        <x:v>İkincil, Endeksa aktarımı</x:v>
      </x:c>
    </x:row>
    <x:row r="10">
      <x:c r="A10" s="46" t="str">
        <x:v>S09</x:v>
      </x:c>
      <x:c r="B10" s="47" t="str">
        <x:v>Endeksa verisi / Dünya</x:v>
      </x:c>
      <x:c r="C10" s="47" t="str">
        <x:v>Aralık 2025 konut satış fiyatları</x:v>
      </x:c>
      <x:c r="D10" s="47" t="str">
        <x:v>https://www.dunya.com/ekonomik-veriler/endeksa-konut-satis-fiyatlari-aralik-ayinda-yuzde-272-artti-haberi-812021</x:v>
      </x:c>
      <x:c r="E10" s="47" t="str">
        <x:v>2025 satılık m² ve ortalama fiyat</x:v>
      </x:c>
      <x:c r="F10" s="48" t="str">
        <x:v>İkincil, Endeksa aktarımı</x:v>
      </x:c>
    </x:row>
    <x:row r="11">
      <x:c r="A11" s="46" t="str">
        <x:v>S10</x:v>
      </x:c>
      <x:c r="B11" s="47" t="str">
        <x:v>Emlakjet / Endeksa</x:v>
      </x:c>
      <x:c r="C11" s="47" t="str">
        <x:v>Türkiye satılık konut piyasa verisi</x:v>
      </x:c>
      <x:c r="D11" s="47" t="str">
        <x:v>https://www.emlakjet.com/emlak-piyasasi/satilik-konut</x:v>
      </x:c>
      <x:c r="E11" s="47" t="str">
        <x:v>2026 son gözlem: Türkiye</x:v>
      </x:c>
      <x:c r="F11" s="48" t="str">
        <x:v>Piyasa verisi</x:v>
      </x:c>
    </x:row>
    <x:row r="12">
      <x:c r="A12" s="46" t="str">
        <x:v>S11</x:v>
      </x:c>
      <x:c r="B12" s="47" t="str">
        <x:v>Emlakjet / Endeksa</x:v>
      </x:c>
      <x:c r="C12" s="47" t="str">
        <x:v>İstanbul satılık konut piyasa verisi</x:v>
      </x:c>
      <x:c r="D12" s="47" t="str">
        <x:v>https://www.emlakjet.com/emlak-piyasasi/satilik-konut/istanbul</x:v>
      </x:c>
      <x:c r="E12" s="47" t="str">
        <x:v>2026 son gözlem: İstanbul</x:v>
      </x:c>
      <x:c r="F12" s="48" t="str">
        <x:v>Piyasa verisi</x:v>
      </x:c>
    </x:row>
    <x:row r="13">
      <x:c r="A13" s="46" t="str">
        <x:v>S12</x:v>
      </x:c>
      <x:c r="B13" s="47" t="str">
        <x:v>Emlakjet / Endeksa</x:v>
      </x:c>
      <x:c r="C13" s="47" t="str">
        <x:v>Ankara satılık konut piyasa verisi</x:v>
      </x:c>
      <x:c r="D13" s="47" t="str">
        <x:v>https://www.emlakjet.com/emlak-piyasasi/satilik-konut/ankara</x:v>
      </x:c>
      <x:c r="E13" s="47" t="str">
        <x:v>2026 son gözlem: Ankara</x:v>
      </x:c>
      <x:c r="F13" s="48" t="str">
        <x:v>Piyasa verisi</x:v>
      </x:c>
    </x:row>
    <x:row r="14">
      <x:c r="A14" s="46" t="str">
        <x:v>S13</x:v>
      </x:c>
      <x:c r="B14" s="47" t="str">
        <x:v>Emlakjet / Endeksa</x:v>
      </x:c>
      <x:c r="C14" s="47" t="str">
        <x:v>İzmir satılık konut piyasa verisi</x:v>
      </x:c>
      <x:c r="D14" s="47" t="str">
        <x:v>https://www.emlakjet.com/emlak-piyasasi/satilik-konut/izmir</x:v>
      </x:c>
      <x:c r="E14" s="47" t="str">
        <x:v>2026 son gözlem: İzmir</x:v>
      </x:c>
      <x:c r="F14" s="48" t="str">
        <x:v>Piyasa verisi</x:v>
      </x:c>
    </x:row>
    <x:row r="15">
      <x:c r="A15" s="46" t="str">
        <x:v>S14</x:v>
      </x:c>
      <x:c r="B15" s="47" t="str">
        <x:v>Endeksa verisi / Gayrimenkul Haber</x:v>
      </x:c>
      <x:c r="C15" s="47" t="str">
        <x:v>Aralık 2023 kiralık konut fiyatları</x:v>
      </x:c>
      <x:c r="D15" s="47" t="str">
        <x:v>https://www.gayrimenkulhaber.com/guncel/endeksa-acikladi-aralik-ayinda-kira-artisi-hiz-kesti-bazi-bolgelerde-dususler-var/</x:v>
      </x:c>
      <x:c r="E15" s="47" t="str">
        <x:v>2023 ortalama kira ve 2022 geriye hesap büyümeleri</x:v>
      </x:c>
      <x:c r="F15" s="48" t="str">
        <x:v>İkincil, Endeksa aktarımı</x:v>
      </x:c>
    </x:row>
    <x:row r="16">
      <x:c r="A16" s="46" t="str">
        <x:v>S15</x:v>
      </x:c>
      <x:c r="B16" s="47" t="str">
        <x:v>Endeksa verisi / Gayrimenkul Haber</x:v>
      </x:c>
      <x:c r="C16" s="47" t="str">
        <x:v>2024 Yıllık Gayrimenkul Değer Raporu</x:v>
      </x:c>
      <x:c r="D16" s="47" t="str">
        <x:v>https://www.gayrimenkulhaber.com/guncel/endeksa-2024-yillik-gayrimenkul-deger-raporu-yayimlandi/</x:v>
      </x:c>
      <x:c r="E16" s="47" t="str">
        <x:v>2024 ortalama kira; Ankara/İzmir %52 artış varsayım girdisi</x:v>
      </x:c>
      <x:c r="F16" s="48" t="str">
        <x:v>İkincil, Endeksa aktarımı</x:v>
      </x:c>
    </x:row>
    <x:row r="17">
      <x:c r="A17" s="46" t="str">
        <x:v>S16</x:v>
      </x:c>
      <x:c r="B17" s="47" t="str">
        <x:v>Endeksa verisi / Karar</x:v>
      </x:c>
      <x:c r="C17" s="47" t="str">
        <x:v>2025 konut ve kira piyasa özeti</x:v>
      </x:c>
      <x:c r="D17" s="47" t="str">
        <x:v>https://www.karar.com/ekonomi-haberleri/konut-satislari-ne-durumda-emlakta-en-cok-kazandiran-il-hangisi-2033220</x:v>
      </x:c>
      <x:c r="E17" s="47" t="str">
        <x:v>2025 Türkiye/İstanbul kira ve satış çapraz kontrol</x:v>
      </x:c>
      <x:c r="F17" s="48" t="str">
        <x:v>İkincil, Endeksa aktarımı</x:v>
      </x:c>
    </x:row>
    <x:row r="18">
      <x:c r="A18" s="46" t="str">
        <x:v>S17</x:v>
      </x:c>
      <x:c r="B18" s="47" t="str">
        <x:v>Emlakjet / Endeksa</x:v>
      </x:c>
      <x:c r="C18" s="47" t="str">
        <x:v>Türkiye güncel ortalama kira</x:v>
      </x:c>
      <x:c r="D18" s="47" t="str">
        <x:v>https://www.emlakjet.com/satilik-konut</x:v>
      </x:c>
      <x:c r="E18" s="47" t="str">
        <x:v>2026 Türkiye ortalama kira</x:v>
      </x:c>
      <x:c r="F18" s="48" t="str">
        <x:v>Piyasa verisi</x:v>
      </x:c>
    </x:row>
    <x:row r="19">
      <x:c r="A19" s="46" t="str">
        <x:v>S18</x:v>
      </x:c>
      <x:c r="B19" s="47" t="str">
        <x:v>Emlakjet / Endeksa</x:v>
      </x:c>
      <x:c r="C19" s="47" t="str">
        <x:v>İstanbul güncel ortalama kira</x:v>
      </x:c>
      <x:c r="D19" s="47" t="str">
        <x:v>https://www.emlakjet.com/satilik-konut/istanbul</x:v>
      </x:c>
      <x:c r="E19" s="47" t="str">
        <x:v>2026 İstanbul ortalama kira</x:v>
      </x:c>
      <x:c r="F19" s="48" t="str">
        <x:v>Piyasa verisi</x:v>
      </x:c>
    </x:row>
    <x:row r="20">
      <x:c r="A20" s="46" t="str">
        <x:v>S19</x:v>
      </x:c>
      <x:c r="B20" s="47" t="str">
        <x:v>Emlakjet / Endeksa</x:v>
      </x:c>
      <x:c r="C20" s="47" t="str">
        <x:v>Ankara güncel ortalama kira</x:v>
      </x:c>
      <x:c r="D20" s="47" t="str">
        <x:v>https://www.emlakjet.com/satilik-konut/ankara</x:v>
      </x:c>
      <x:c r="E20" s="47" t="str">
        <x:v>2026 Ankara ortalama kira</x:v>
      </x:c>
      <x:c r="F20" s="48" t="str">
        <x:v>Piyasa verisi</x:v>
      </x:c>
    </x:row>
    <x:row r="21">
      <x:c r="A21" s="46" t="str">
        <x:v>S20</x:v>
      </x:c>
      <x:c r="B21" s="47" t="str">
        <x:v>Emlakjet / Endeksa</x:v>
      </x:c>
      <x:c r="C21" s="47" t="str">
        <x:v>İzmir güncel ortalama kira</x:v>
      </x:c>
      <x:c r="D21" s="47" t="str">
        <x:v>https://www.emlakjet.com/satilik-konut/izmir</x:v>
      </x:c>
      <x:c r="E21" s="47" t="str">
        <x:v>2026 İzmir ortalama kira</x:v>
      </x:c>
      <x:c r="F21" s="48" t="str">
        <x:v>Piyasa verisi</x:v>
      </x:c>
    </x:row>
    <x:row r="22">
      <x:c r="A22" s="46" t="str">
        <x:v>S21</x:v>
      </x:c>
      <x:c r="B22" s="47" t="str">
        <x:v>BETAM / sahibindex</x:v>
      </x:c>
      <x:c r="C22" s="47" t="str">
        <x:v>Kiralık Konut Piyasası Görünümü, Ocak 2023</x:v>
      </x:c>
      <x:c r="D22" s="47" t="str">
        <x:v>https://betam.bahcesehir.edu.tr/2023/01/sahibindex-kiralik-konut-piyasasi-gorunumu-ocak-2023/</x:v>
      </x:c>
      <x:c r="E22" s="47" t="str">
        <x:v>Aralık 2022 kiralık m² fiyatları</x:v>
      </x:c>
      <x:c r="F22" s="48" t="str">
        <x:v>Araştırma / ilan verisi</x:v>
      </x:c>
    </x:row>
    <x:row r="23">
      <x:c r="A23" s="46" t="str">
        <x:v>S22</x:v>
      </x:c>
      <x:c r="B23" s="47" t="str">
        <x:v>BETAM / sahibindex</x:v>
      </x:c>
      <x:c r="C23" s="47" t="str">
        <x:v>Kiralık Konut Piyasası Görünümü, Ocak 2024</x:v>
      </x:c>
      <x:c r="D23" s="47" t="str">
        <x:v>https://betam.bahcesehir.edu.tr/2024/01/sahibindex-kiralik-konut-piyasasi-gorunumu-ocak-2024/</x:v>
      </x:c>
      <x:c r="E23" s="47" t="str">
        <x:v>Aralık 2023 kiralık m² fiyatları</x:v>
      </x:c>
      <x:c r="F23" s="48" t="str">
        <x:v>Araştırma / ilan verisi</x:v>
      </x:c>
    </x:row>
    <x:row r="24">
      <x:c r="A24" s="46" t="str">
        <x:v>S23</x:v>
      </x:c>
      <x:c r="B24" s="47" t="str">
        <x:v>BETAM / sahibindex</x:v>
      </x:c>
      <x:c r="C24" s="47" t="str">
        <x:v>Kiralık Konut Piyasası Görünümü, Ocak 2026</x:v>
      </x:c>
      <x:c r="D24" s="47" t="str">
        <x:v>https://betam.bahcesehir.edu.tr/2026/01/sahibindex-kiralik-konut-piyasasi-gorunumu-ocak-2026/</x:v>
      </x:c>
      <x:c r="E24" s="47" t="str">
        <x:v>Aralık 2025 kiralık m²; 2024 geriye hesap</x:v>
      </x:c>
      <x:c r="F24" s="48" t="str">
        <x:v>Araştırma / ilan verisi</x:v>
      </x:c>
    </x:row>
    <x:row r="25">
      <x:c r="A25" s="46" t="str">
        <x:v>S24</x:v>
      </x:c>
      <x:c r="B25" s="47" t="str">
        <x:v>CNBC-e / BETAM-sahibindex</x:v>
      </x:c>
      <x:c r="C25" s="47" t="str">
        <x:v>Temmuz 2026 kiralık konut piyasası</x:v>
      </x:c>
      <x:c r="D25" s="47" t="str">
        <x:v>https://www.cnbce.com/gayrimenkul/konut-piyasasinda-temmuz-hareketliligi-kiralikta-talep-artti-kiralar-reel-olarak-dustu-g36014</x:v>
      </x:c>
      <x:c r="E25" s="47" t="str">
        <x:v>Temmuz 2026 kiralık m² son gözlem</x:v>
      </x:c>
      <x:c r="F25" s="48" t="str">
        <x:v>İkincil, BETAM aktarımı</x:v>
      </x:c>
    </x:row>
    <x:row r="26">
      <x:c r="A26" s="46" t="str">
        <x:v>S25</x:v>
      </x:c>
      <x:c r="B26" s="47" t="str">
        <x:v>Bloomberg HT / BETAM-sahibindex</x:v>
      </x:c>
      <x:c r="C26" s="47" t="str">
        <x:v>Aralık 2022 kiralanan konut ilan göstergesi</x:v>
      </x:c>
      <x:c r="D26" s="47" t="str">
        <x:v>https://www.bloomberght.com/kira-artis-hizi-yukseldi-kiralanan-konut-azaldi-2323711</x:v>
      </x:c>
      <x:c r="E26" s="47" t="str">
        <x:v>Türkiye kiralanan konut platform proxy</x:v>
      </x:c>
      <x:c r="F26" s="48" t="str">
        <x:v>İkincil, BETAM aktarımı</x:v>
      </x:c>
    </x:row>
    <x:row r="27">
      <x:c r="A27" s="46" t="str">
        <x:v>S26</x:v>
      </x:c>
      <x:c r="B27" s="47" t="str">
        <x:v>Dünya / sahibindex</x:v>
      </x:c>
      <x:c r="C27" s="47" t="str">
        <x:v>Aralık 2022 il bazında kiralanma oranları</x:v>
      </x:c>
      <x:c r="D27" s="47" t="str">
        <x:v>https://www.dunya.com/sektorler/emlak/satilik-konut-fiyatlarindaki-artis-hizi-dusmeye-devam-ediyor-haberi-683075</x:v>
      </x:c>
      <x:c r="E27" s="47" t="str">
        <x:v>İstanbul/Ankara/İzmir 2022 platform proxy</x:v>
      </x:c>
      <x:c r="F27" s="48" t="str">
        <x:v>İkincil, sahibindex aktarımı</x:v>
      </x:c>
    </x:row>
    <x:row r="28">
      <x:c r="A28" s="46" t="str">
        <x:v>S27</x:v>
      </x:c>
      <x:c r="B28" s="47" t="str">
        <x:v>sahibinden / BETAM</x:v>
      </x:c>
      <x:c r="C28" s="47" t="str">
        <x:v>Kiralık Konut Piyasası Görünümü, Ocak 2024 PDF</x:v>
      </x:c>
      <x:c r="D28" s="47" t="str">
        <x:v>https://image5.sahibinden.com/staticContent/969bb478/2309/451b/af82/d321e8a0a74d/1706003743.pdf</x:v>
      </x:c>
      <x:c r="E28" s="47" t="str">
        <x:v>Aralık 2023 kiralanan konut platform göstergesi</x:v>
      </x:c>
      <x:c r="F28" s="48" t="str">
        <x:v>Araştırma / ilan verisi</x:v>
      </x:c>
    </x:row>
    <x:row r="29">
      <x:c r="A29" s="46" t="str">
        <x:v>S28</x:v>
      </x:c>
      <x:c r="B29" s="47" t="str">
        <x:v>TCMB</x:v>
      </x:c>
      <x:c r="C29" s="47" t="str">
        <x:v>2026 Enflasyon Raporu III sunumu, 13 Ağustos 2026</x:v>
      </x:c>
      <x:c r="D29" s="47" t="str">
        <x:v>https://tcmb.gov.tr/wps/wcm/connect/tr/tcmb%2Btr/main%2Bmenu/duyurular/baskanin%2Bkonusmalari/2026/konusmab13_08_2026</x:v>
      </x:c>
      <x:c r="E29" s="47" t="str">
        <x:v>2027 %15, 2028 %9 enflasyon tahmini; fiyat projeksiyon çıpası</x:v>
      </x:c>
      <x:c r="F29" s="48" t="str">
        <x:v>Birincil resmî</x:v>
      </x:c>
    </x:row>
    <x:row r="30">
      <x:c r="A30" s="56" t="str">
        <x:v>S29</x:v>
      </x:c>
      <x:c r="B30" s="58" t="str">
        <x:v>Anadolu Ajansı / TCMB</x:v>
      </x:c>
      <x:c r="C30" s="58" t="str">
        <x:v>TCMB enflasyon tahmini haberi</x:v>
      </x:c>
      <x:c r="D30" s="58" t="str">
        <x:v>https://www.aa.com.tr/tr/ekonomi/tcmb-baskani-karahan-2026-yil-sonu-enflasyon-tahminimizi-yuzde-28-olarak-yukari-yonlu-guncelledik/4025976</x:v>
      </x:c>
      <x:c r="E30" s="58" t="str">
        <x:v>TCMB patikasının haber teyidi</x:v>
      </x:c>
      <x:c r="F30" s="59" t="str">
        <x:v>Güçlü ikincil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46" hidden="0" customWidth="1"/>
    <x:col min="4" max="4" width="52" hidden="0" customWidth="1"/>
  </x:cols>
  <x:sheetData>
    <x:row r="1">
      <x:c r="A1" s="5" t="str">
        <x:v>Metodoloji, Tanımlar ve Uyarılar</x:v>
      </x:c>
      <x:c r="B1" s="5"/>
      <x:c r="C1" s="5"/>
      <x:c r="D1" s="5"/>
    </x:row>
    <x:row r="3">
      <x:c r="A3" s="43" t="str">
        <x:v>Konu</x:v>
      </x:c>
      <x:c r="B3" s="44" t="str">
        <x:v>Uygulama</x:v>
      </x:c>
      <x:c r="C3" s="44" t="str">
        <x:v>Neden</x:v>
      </x:c>
      <x:c r="D3" s="45" t="str">
        <x:v>Yorum</x:v>
      </x:c>
    </x:row>
    <x:row r="4">
      <x:c r="A4" s="46" t="str">
        <x:v>Satılan ev sayısı</x:v>
      </x:c>
      <x:c r="B4" s="47" t="str">
        <x:v>2022-2025 TÜİK tam yıl gerçekleşen; 2026E = 2025 tam yıl × (2026 Oca-Tem / 2025 Oca-Tem).</x:v>
      </x:c>
      <x:c r="C4" s="47" t="str">
        <x:v>2026 yılı henüz tamamlanmadı.</x:v>
      </x:c>
      <x:c r="D4" s="48" t="str">
        <x:v>2027-2030 hacim tahminleri 2022-2026 CAGR ile %2 uzun dönem büyümesini harmanlar.</x:v>
      </x:c>
    </x:row>
    <x:row r="5">
      <x:c r="A5" s="46" t="str">
        <x:v>Ortalama satılık m²</x:v>
      </x:c>
      <x:c r="B5" s="47" t="str">
        <x:v>Ortalama ev fiyatı / satılık m² fiyatı.</x:v>
      </x:c>
      <x:c r="C5" s="47" t="str">
        <x:v>Aynı Endeksa veri evrenindeki iki fiyat göstergesinden türetilir.</x:v>
      </x:c>
      <x:c r="D5" s="48" t="str">
        <x:v>2027-2030'da 2026 alanı sabit tutulmuştur.</x:v>
      </x:c>
    </x:row>
    <x:row r="6">
      <x:c r="A6" s="46" t="str">
        <x:v>Satılık m² fiyatı</x:v>
      </x:c>
      <x:c r="B6" s="47" t="str">
        <x:v>2022-2025 yıl sonu/rapor verileri; 2026 Temmuz civarı son gözlem.</x:v>
      </x:c>
      <x:c r="C6" s="47" t="str">
        <x:v>Piyasa fiyatı için Endeksa/Emlakjet verisi.</x:v>
      </x:c>
      <x:c r="D6" s="48" t="str">
        <x:v>2027-2030 nominal TL; TCMB enflasyon patikasına bağlı senaryo.</x:v>
      </x:c>
    </x:row>
    <x:row r="7">
      <x:c r="A7" s="46" t="str">
        <x:v>Ortalama ev fiyatı</x:v>
      </x:c>
      <x:c r="B7" s="47" t="str">
        <x:v>Kaynakta mevcutsa doğrudan; ileri yıllarda m² fiyatı × alan.</x:v>
      </x:c>
      <x:c r="C7" s="47" t="str">
        <x:v>İzmir 2022, 2023 yıllık artıştan geriye hesaplanmıştır.</x:v>
      </x:c>
      <x:c r="D7" s="48" t="str">
        <x:v>2024/2025 bazı değerler raporlarda yuvarlatılmış olabilir.</x:v>
      </x:c>
    </x:row>
    <x:row r="8">
      <x:c r="A8" s="46" t="str">
        <x:v>Kiralanan ev sayısı</x:v>
      </x:c>
      <x:c r="B8" s="47" t="str">
        <x:v>RESMÎ işlem adedi değildir. sahibindex/BETAM kiralanan/kapanan ilan göstergesinden yıllıklandırılmış platform proxy'si.</x:v>
      </x:c>
      <x:c r="C8" s="47" t="str">
        <x:v>Türkiye'de tüm kira sözleşmelerini kapsayan yıllık TÜİK işlem serisi yok.</x:v>
      </x:c>
      <x:c r="D8" s="48" t="str">
        <x:v>2024-2026 proxy büyümesi model; 2027-2030 hacim tahmini.</x:v>
      </x:c>
    </x:row>
    <x:row r="9">
      <x:c r="A9" s="46" t="str">
        <x:v>Ortalama kiralanan m²</x:v>
      </x:c>
      <x:c r="B9" s="47" t="str">
        <x:v>Ortalama kira / kiralık m² fiyatı.</x:v>
      </x:c>
      <x:c r="C9" s="47" t="str">
        <x:v>Endeksa kira seviyesi ile BETAM m² serisini çaprazlayarak ima edilen alandır.</x:v>
      </x:c>
      <x:c r="D9" s="48" t="str">
        <x:v>Kaynak evrenleri farklı olduğundan yaklaşık gösterge kabul edilmelidir.</x:v>
      </x:c>
    </x:row>
    <x:row r="10">
      <x:c r="A10" s="46" t="str">
        <x:v>Kiralık m² fiyatı</x:v>
      </x:c>
      <x:c r="B10" s="47" t="str">
        <x:v>BETAM/sahibindex ilan m² fiyatı.</x:v>
      </x:c>
      <x:c r="C10" s="47" t="str">
        <x:v>2024 değeri 2025 yıllık değişiminden geriye hesaplandı.</x:v>
      </x:c>
      <x:c r="D10" s="48" t="str">
        <x:v>2026 Temmuz son gözlem; 2027-2030 nominal tahmin.</x:v>
      </x:c>
    </x:row>
    <x:row r="11">
      <x:c r="A11" s="46" t="str">
        <x:v>Ortalama kira fiyatı</x:v>
      </x:c>
      <x:c r="B11" s="47" t="str">
        <x:v>Endeksa/Emlakjet ortalama kira; eksik noktalarda belirtilen büyüme/alan yöntemi.</x:v>
      </x:c>
      <x:c r="C11" s="47" t="str">
        <x:v>Ankara/İzmir 2024 %52 artış; 2025 alan sabiti ile türetildi.</x:v>
      </x:c>
      <x:c r="D11" s="48" t="str">
        <x:v>2027-2030 = tahmini m² kira × 2026 ima edilen alan.</x:v>
      </x:c>
    </x:row>
    <x:row r="12">
      <x:c r="A12" s="46" t="str">
        <x:v>Tahmin patikası</x:v>
      </x:c>
      <x:c r="B12" s="47" t="str">
        <x:v>2027 %15, 2028 %9; 2029 %6 model geçişi; 2030 %5.</x:v>
      </x:c>
      <x:c r="C12" s="47" t="str">
        <x:v>TCMB tahminleri ve orta vadeli hedef temel alınmıştır.</x:v>
      </x:c>
      <x:c r="D12" s="48" t="str">
        <x:v>Bu bir senaryodur; yatırım tavsiyesi veya resmî tahmin değildir.</x:v>
      </x:c>
    </x:row>
    <x:row r="13">
      <x:c r="A13" s="56" t="str">
        <x:v>Dönem farkı</x:v>
      </x:c>
      <x:c r="B13" s="58" t="str">
        <x:v>2026 satış adedi tam-yıl tahmini; 2026 fiyat/kira değerleri son gözlem.</x:v>
      </x:c>
      <x:c r="C13" s="58" t="str">
        <x:v>Farklı veri setlerinin yayımlanma takvimi.</x:v>
      </x:c>
      <x:c r="D13" s="59" t="str">
        <x:v>2026 sütunu 'E/Son' olarak özellikle etiketlenmiştir.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52" t="str">
        <x:v>Türkiye Konut Piyasası — 2022–2030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81" t="str">
        <x:v>2022–2025: gerçekleşen/yıl sonu piyasa gözlemi | 2026E/Son: satış adedi tahmini + fiyat/kira son gözlem | 2027–2030: model tahmini</x:v>
      </x:c>
      <x:c r="B2" s="81"/>
      <x:c r="C2" s="81"/>
      <x:c r="D2" s="81"/>
      <x:c r="E2" s="81"/>
      <x:c r="F2" s="81"/>
      <x:c r="G2" s="81"/>
      <x:c r="H2" s="81"/>
      <x:c r="I2" s="81"/>
      <x:c r="J2" s="81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</x:row>
    <x:row r="4">
      <x:c r="A4" s="43" t="str">
        <x:v>Gösterge</x:v>
      </x:c>
      <x:c r="B4" s="44" t="str">
        <x:v>2022</x:v>
      </x:c>
      <x:c r="C4" s="44" t="str">
        <x:v>2023</x:v>
      </x:c>
      <x:c r="D4" s="44" t="str">
        <x:v>2024</x:v>
      </x:c>
      <x:c r="E4" s="44" t="str">
        <x:v>2025</x:v>
      </x:c>
      <x:c r="F4" s="44" t="str">
        <x:v>2026E/Son</x:v>
      </x:c>
      <x:c r="G4" s="44" t="str">
        <x:v>2027</x:v>
      </x:c>
      <x:c r="H4" s="44" t="str">
        <x:v>2028</x:v>
      </x:c>
      <x:c r="I4" s="44" t="str">
        <x:v>2029</x:v>
      </x:c>
      <x:c r="J4" s="45" t="str">
        <x:v>2030</x:v>
      </x:c>
    </x:row>
    <x:row r="5">
      <x:c r="A5" s="183" t="str">
        <x:v>Satılan ev sayısı (adet)</x:v>
      </x:c>
      <x:c r="B5" s="184" t="n">
        <x:v>1485622</x:v>
      </x:c>
      <x:c r="C5" s="184" t="n">
        <x:v>1225926</x:v>
      </x:c>
      <x:c r="D5" s="184" t="n">
        <x:v>1478025</x:v>
      </x:c>
      <x:c r="E5" s="184" t="n">
        <x:v>1688910</x:v>
      </x:c>
      <x:c r="F5" s="185" t="n">
        <x:f>E5*'Varsayımlar'!$B$5</x:f>
        <x:v>1596493.5629048874</x:v>
      </x:c>
      <x:c r="G5" s="186" t="n">
        <x:f>F5*(1+('Varsayımlar'!$B$31*$B$16+(1-'Varsayımlar'!$B$31)*'Varsayımlar'!$B$10))</x:f>
        <x:v>1626952.1923118136</x:v>
      </x:c>
      <x:c r="H5" s="186" t="n">
        <x:f>G5*(1+('Varsayımlar'!$B$32*$B$16+(1-'Varsayımlar'!$B$32)*'Varsayımlar'!$B$10))</x:f>
        <x:v>1658441.7185479817</x:v>
      </x:c>
      <x:c r="I5" s="186" t="n">
        <x:f>H5*(1+('Varsayımlar'!$B$33*$B$16+(1-'Varsayımlar'!$B$33)*'Varsayımlar'!$B$10))</x:f>
        <x:v>1690999.2209547542</x:v>
      </x:c>
      <x:c r="J5" s="187" t="n">
        <x:f>I5*(1+'Varsayımlar'!$B$10)</x:f>
        <x:v>1724819.2053738493</x:v>
      </x:c>
    </x:row>
    <x:row r="6">
      <x:c r="A6" s="183" t="str">
        <x:v>Ortalama satılık konut alanı (m²)</x:v>
      </x:c>
      <x:c r="B6" s="188" t="n">
        <x:f>B8/B7</x:f>
        <x:v>130</x:v>
      </x:c>
      <x:c r="C6" s="188" t="n">
        <x:f>C8/C7</x:f>
        <x:v>130</x:v>
      </x:c>
      <x:c r="D6" s="188" t="n">
        <x:f>D8/D7</x:f>
        <x:v>127.84282061633697</x:v>
      </x:c>
      <x:c r="E6" s="188" t="n">
        <x:f>E8/E7</x:f>
        <x:v>124.33862433862434</x:v>
      </x:c>
      <x:c r="F6" s="189" t="n">
        <x:f>F8/F7</x:f>
        <x:v>125</x:v>
      </x:c>
      <x:c r="G6" s="190" t="n">
        <x:f>$F$6</x:f>
        <x:v>125</x:v>
      </x:c>
      <x:c r="H6" s="190" t="n">
        <x:f>$F$6</x:f>
        <x:v>125</x:v>
      </x:c>
      <x:c r="I6" s="190" t="n">
        <x:f>$F$6</x:f>
        <x:v>125</x:v>
      </x:c>
      <x:c r="J6" s="191" t="n">
        <x:f>$F$6</x:f>
        <x:v>125</x:v>
      </x:c>
    </x:row>
    <x:row r="7">
      <x:c r="A7" s="183" t="str">
        <x:v>Ortalama satılık m² fiyatı (TL/m²)</x:v>
      </x:c>
      <x:c r="B7" s="192" t="n">
        <x:v>13824</x:v>
      </x:c>
      <x:c r="C7" s="192" t="n">
        <x:v>23790</x:v>
      </x:c>
      <x:c r="D7" s="192" t="n">
        <x:v>29724</x:v>
      </x:c>
      <x:c r="E7" s="192" t="n">
        <x:v>37800</x:v>
      </x:c>
      <x:c r="F7" s="193" t="n">
        <x:v>41703</x:v>
      </x:c>
      <x:c r="G7" s="194" t="n">
        <x:f>F7*(1+'Varsayımlar'!$B$8)</x:f>
        <x:v>47958.45</x:v>
      </x:c>
      <x:c r="H7" s="194" t="n">
        <x:f>G7*(1+'Varsayımlar'!$C$8)</x:f>
        <x:v>52274.7105</x:v>
      </x:c>
      <x:c r="I7" s="194" t="n">
        <x:f>H7*(1+'Varsayımlar'!$D$8)</x:f>
        <x:v>55411.19313000001</x:v>
      </x:c>
      <x:c r="J7" s="195" t="n">
        <x:f>I7*(1+'Varsayımlar'!$E$8)</x:f>
        <x:v>58181.75278650001</x:v>
      </x:c>
    </x:row>
    <x:row r="8">
      <x:c r="A8" s="183" t="str">
        <x:v>Ortalama ev fiyatı (TL)</x:v>
      </x:c>
      <x:c r="B8" s="196" t="n">
        <x:v>1797120</x:v>
      </x:c>
      <x:c r="C8" s="196" t="n">
        <x:v>3092700</x:v>
      </x:c>
      <x:c r="D8" s="196" t="n">
        <x:v>3800000</x:v>
      </x:c>
      <x:c r="E8" s="196" t="n">
        <x:v>4700000</x:v>
      </x:c>
      <x:c r="F8" s="197" t="n">
        <x:v>5212875</x:v>
      </x:c>
      <x:c r="G8" s="198" t="n">
        <x:f>G7*G6</x:f>
        <x:v>5994806.25</x:v>
      </x:c>
      <x:c r="H8" s="198" t="n">
        <x:f>H7*H6</x:f>
        <x:v>6534338.8125</x:v>
      </x:c>
      <x:c r="I8" s="198" t="n">
        <x:f>I7*I6</x:f>
        <x:v>6926399.141250001</x:v>
      </x:c>
      <x:c r="J8" s="199" t="n">
        <x:f>J7*J6</x:f>
        <x:v>7272719.098312501</x:v>
      </x:c>
    </x:row>
    <x:row r="9">
      <x:c r="A9" s="183" t="str">
        <x:v>Kiralanan ev sayısı (adet/yıl, platform proxy)</x:v>
      </x:c>
      <x:c r="B9" s="200" t="n">
        <x:f>'Varsayımlar'!B25</x:f>
        <x:v>451812</x:v>
      </x:c>
      <x:c r="C9" s="200" t="n">
        <x:f>'Varsayımlar'!C25</x:f>
        <x:v>484260</x:v>
      </x:c>
      <x:c r="D9" s="200" t="n">
        <x:f>C9*(1+'Varsayımlar'!B19)</x:f>
        <x:v>508473</x:v>
      </x:c>
      <x:c r="E9" s="200" t="n">
        <x:f>D9*(1+'Varsayımlar'!C19)</x:f>
        <x:v>528811.92</x:v>
      </x:c>
      <x:c r="F9" s="185" t="n">
        <x:f>E9*(1+'Varsayımlar'!D19)</x:f>
        <x:v>549964.3968000001</x:v>
      </x:c>
      <x:c r="G9" s="186" t="n">
        <x:f>F9*(1+('Varsayımlar'!$B$31*$B$17+(1-'Varsayımlar'!$B$31)*'Varsayımlar'!$B$10))</x:f>
        <x:v>569316.1539024593</x:v>
      </x:c>
      <x:c r="H9" s="186" t="n">
        <x:f>G9*(1+('Varsayımlar'!$B$32*$B$17+(1-'Varsayımlar'!$B$32)*'Varsayımlar'!$B$10))</x:f>
        <x:v>586754.9359294405</x:v>
      </x:c>
      <x:c r="I9" s="186" t="n">
        <x:f>H9*(1+('Varsayımlar'!$B$33*$B$17+(1-'Varsayımlar'!$B$33)*'Varsayımlar'!$B$10))</x:f>
        <x:v>602054.5217596565</x:v>
      </x:c>
      <x:c r="J9" s="187" t="n">
        <x:f>I9*(1+'Varsayımlar'!$B$10)</x:f>
        <x:v>614095.6121948496</x:v>
      </x:c>
    </x:row>
    <x:row r="10">
      <x:c r="A10" s="183" t="str">
        <x:v>Ortalama kiralanan alan (m², ima edilen)</x:v>
      </x:c>
      <x:c r="B10" s="188" t="n">
        <x:f>B12/B11</x:f>
        <x:v>97.52678751937462</x:v>
      </x:c>
      <x:c r="C10" s="188" t="n">
        <x:f>C12/C11</x:f>
        <x:v>109.0580256217031</x:v>
      </x:c>
      <x:c r="D10" s="188" t="n">
        <x:f>D12/D11</x:f>
        <x:v>104.92206726825266</x:v>
      </x:c>
      <x:c r="E10" s="188" t="n">
        <x:f>E12/E11</x:f>
        <x:v>104.10172272354389</x:v>
      </x:c>
      <x:c r="F10" s="189" t="n">
        <x:f>F12/F11</x:f>
        <x:v>93.92590074779062</x:v>
      </x:c>
      <x:c r="G10" s="190" t="n">
        <x:f>$F$10</x:f>
        <x:v>93.92590074779062</x:v>
      </x:c>
      <x:c r="H10" s="190" t="n">
        <x:f>$F$10</x:f>
        <x:v>93.92590074779062</x:v>
      </x:c>
      <x:c r="I10" s="190" t="n">
        <x:f>$F$10</x:f>
        <x:v>93.92590074779062</x:v>
      </x:c>
      <x:c r="J10" s="191" t="n">
        <x:f>$F$10</x:f>
        <x:v>93.92590074779062</x:v>
      </x:c>
    </x:row>
    <x:row r="11">
      <x:c r="A11" s="183" t="str">
        <x:v>Ortalama kiralık m² fiyatı (TL/m²/ay)</x:v>
      </x:c>
      <x:c r="B11" s="192" t="n">
        <x:v>71</x:v>
      </x:c>
      <x:c r="C11" s="192" t="n">
        <x:v>132.7</x:v>
      </x:c>
      <x:c r="D11" s="201" t="n">
        <x:f>E11/(1+'Varsayımlar'!B13)</x:f>
        <x:v>190.61767005473027</x:v>
      </x:c>
      <x:c r="E11" s="192" t="n">
        <x:v>243.8</x:v>
      </x:c>
      <x:c r="F11" s="193" t="n">
        <x:v>294.2</x:v>
      </x:c>
      <x:c r="G11" s="202" t="n">
        <x:f>F11*(1+'Varsayımlar'!$B$8)</x:f>
        <x:v>338.33</x:v>
      </x:c>
      <x:c r="H11" s="202" t="n">
        <x:f>G11*(1+'Varsayımlar'!$C$8)</x:f>
        <x:v>368.7797</x:v>
      </x:c>
      <x:c r="I11" s="202" t="n">
        <x:f>H11*(1+'Varsayımlar'!$D$8)</x:f>
        <x:v>390.906482</x:v>
      </x:c>
      <x:c r="J11" s="203" t="n">
        <x:f>I11*(1+'Varsayımlar'!$E$8)</x:f>
        <x:v>410.4518061</x:v>
      </x:c>
    </x:row>
    <x:row r="12">
      <x:c r="A12" s="204" t="str">
        <x:v>Ortalama kira fiyatı (TL/ay)</x:v>
      </x:c>
      <x:c r="B12" s="205" t="n">
        <x:f>C12/(1+'Varsayımlar'!C13)</x:f>
        <x:v>6924.401913875598</x:v>
      </x:c>
      <x:c r="C12" s="206" t="n">
        <x:v>14472</x:v>
      </x:c>
      <x:c r="D12" s="206" t="n">
        <x:v>20000</x:v>
      </x:c>
      <x:c r="E12" s="206" t="n">
        <x:v>25380</x:v>
      </x:c>
      <x:c r="F12" s="207" t="n">
        <x:v>27633</x:v>
      </x:c>
      <x:c r="G12" s="208" t="n">
        <x:f>G11*G10</x:f>
        <x:v>31777.95</x:v>
      </x:c>
      <x:c r="H12" s="208" t="n">
        <x:f>H11*H10</x:f>
        <x:v>34637.9655</x:v>
      </x:c>
      <x:c r="I12" s="208" t="n">
        <x:f>I11*I10</x:f>
        <x:v>36716.24343</x:v>
      </x:c>
      <x:c r="J12" s="209" t="n">
        <x:f>J11*J10</x:f>
        <x:v>38552.055601500004</x:v>
      </x:c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</x:row>
    <x:row r="15">
      <x:c r="A15" s="210" t="str">
        <x:v>Model yardımcısı</x:v>
      </x:c>
      <x:c r="B15" s="211" t="str">
        <x:v>Değer</x:v>
      </x:c>
      <x:c r="C15" s="47"/>
      <x:c r="D15" s="47"/>
      <x:c r="E15" s="47"/>
      <x:c r="F15" s="47"/>
      <x:c r="G15" s="47"/>
      <x:c r="H15" s="47"/>
      <x:c r="I15" s="47"/>
      <x:c r="J15" s="47"/>
    </x:row>
    <x:row r="16">
      <x:c r="A16" s="212" t="str">
        <x:v>Satış adedi 2022–2026 CAGR</x:v>
      </x:c>
      <x:c r="B16" s="213" t="n">
        <x:f>POWER(F5/B5,1/4)-1</x:f>
        <x:v>0.01815690850830043</x:v>
      </x:c>
      <x:c r="C16" s="47"/>
      <x:c r="D16" s="47"/>
      <x:c r="E16" s="47"/>
      <x:c r="F16" s="47"/>
      <x:c r="G16" s="47"/>
      <x:c r="H16" s="47"/>
      <x:c r="I16" s="47"/>
      <x:c r="J16" s="47"/>
    </x:row>
    <x:row r="17">
      <x:c r="A17" s="214" t="str">
        <x:v>Kira proxy 2022–2026 CAGR</x:v>
      </x:c>
      <x:c r="B17" s="215" t="n">
        <x:f>POWER(F9/B9,1/4)-1</x:f>
        <x:v>0.050374581391299245</x:v>
      </x:c>
      <x:c r="C17" s="47"/>
      <x:c r="D17" s="47"/>
      <x:c r="E17" s="47"/>
      <x:c r="F17" s="47"/>
      <x:c r="G17" s="47"/>
      <x:c r="H17" s="47"/>
      <x:c r="I17" s="47"/>
      <x:c r="J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</x:row>
    <x:row r="19">
      <x:c r="A19" s="43" t="str">
        <x:v>Veri dönemi / türü</x:v>
      </x:c>
      <x:c r="B19" s="44" t="str">
        <x:v>2022</x:v>
      </x:c>
      <x:c r="C19" s="44" t="str">
        <x:v>2023</x:v>
      </x:c>
      <x:c r="D19" s="44" t="str">
        <x:v>2024</x:v>
      </x:c>
      <x:c r="E19" s="44" t="str">
        <x:v>2025</x:v>
      </x:c>
      <x:c r="F19" s="44" t="str">
        <x:v>2026E/Son</x:v>
      </x:c>
      <x:c r="G19" s="44" t="str">
        <x:v>2027F</x:v>
      </x:c>
      <x:c r="H19" s="44" t="str">
        <x:v>2028F</x:v>
      </x:c>
      <x:c r="I19" s="44" t="str">
        <x:v>2029F</x:v>
      </x:c>
      <x:c r="J19" s="45" t="str">
        <x:v>2030F</x:v>
      </x:c>
    </x:row>
    <x:row r="20">
      <x:c r="A20" s="46" t="str">
        <x:v>Satış adedi</x:v>
      </x:c>
      <x:c r="B20" s="47" t="str">
        <x:v>TÜİK</x:v>
      </x:c>
      <x:c r="C20" s="47" t="str">
        <x:v>TÜİK</x:v>
      </x:c>
      <x:c r="D20" s="47" t="str">
        <x:v>TÜİK</x:v>
      </x:c>
      <x:c r="E20" s="47" t="str">
        <x:v>TÜİK</x:v>
      </x:c>
      <x:c r="F20" s="47" t="str">
        <x:v>Yıllık tahmin</x:v>
      </x:c>
      <x:c r="G20" s="47" t="str">
        <x:v>Tahmin</x:v>
      </x:c>
      <x:c r="H20" s="47" t="str">
        <x:v>Tahmin</x:v>
      </x:c>
      <x:c r="I20" s="47" t="str">
        <x:v>Tahmin</x:v>
      </x:c>
      <x:c r="J20" s="48" t="str">
        <x:v>Tahmin</x:v>
      </x:c>
    </x:row>
    <x:row r="21">
      <x:c r="A21" s="46" t="str">
        <x:v>Fiyat/kira</x:v>
      </x:c>
      <x:c r="B21" s="47" t="str">
        <x:v>Yıl sonu</x:v>
      </x:c>
      <x:c r="C21" s="47" t="str">
        <x:v>Yıl sonu</x:v>
      </x:c>
      <x:c r="D21" s="47" t="str">
        <x:v>Yıl sonu/türetilmiş</x:v>
      </x:c>
      <x:c r="E21" s="47" t="str">
        <x:v>Yıl sonu</x:v>
      </x:c>
      <x:c r="F21" s="47" t="str">
        <x:v>Temmuz son gözlem</x:v>
      </x:c>
      <x:c r="G21" s="47" t="str">
        <x:v>Tahmin</x:v>
      </x:c>
      <x:c r="H21" s="47" t="str">
        <x:v>Tahmin</x:v>
      </x:c>
      <x:c r="I21" s="47" t="str">
        <x:v>Tahmin</x:v>
      </x:c>
      <x:c r="J21" s="48" t="str">
        <x:v>Tahmin</x:v>
      </x:c>
    </x:row>
    <x:row r="22">
      <x:c r="A22" s="56" t="str">
        <x:v>Kira işlem adedi</x:v>
      </x:c>
      <x:c r="B22" s="58" t="str">
        <x:v>Platform proxy</x:v>
      </x:c>
      <x:c r="C22" s="58" t="str">
        <x:v>Platform proxy</x:v>
      </x:c>
      <x:c r="D22" s="58" t="str">
        <x:v>Model proxy</x:v>
      </x:c>
      <x:c r="E22" s="58" t="str">
        <x:v>Model proxy</x:v>
      </x:c>
      <x:c r="F22" s="58" t="str">
        <x:v>Model proxy</x:v>
      </x:c>
      <x:c r="G22" s="58" t="str">
        <x:v>Tahmin proxy</x:v>
      </x:c>
      <x:c r="H22" s="58" t="str">
        <x:v>Tahmin proxy</x:v>
      </x:c>
      <x:c r="I22" s="58" t="str">
        <x:v>Tahmin proxy</x:v>
      </x:c>
      <x:c r="J22" s="59" t="str">
        <x:v>Tahmin proxy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52" t="str">
        <x:v>İstanbul Konut Piyasası — 2022–2030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81" t="str">
        <x:v>2022–2025: gerçekleşen/yıl sonu piyasa gözlemi | 2026E/Son: satış adedi tahmini + fiyat/kira son gözlem | 2027–2030: model tahmini</x:v>
      </x:c>
      <x:c r="B2" s="81"/>
      <x:c r="C2" s="81"/>
      <x:c r="D2" s="81"/>
      <x:c r="E2" s="81"/>
      <x:c r="F2" s="81"/>
      <x:c r="G2" s="81"/>
      <x:c r="H2" s="81"/>
      <x:c r="I2" s="81"/>
      <x:c r="J2" s="81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</x:row>
    <x:row r="4">
      <x:c r="A4" s="43" t="str">
        <x:v>Gösterge</x:v>
      </x:c>
      <x:c r="B4" s="44" t="str">
        <x:v>2022</x:v>
      </x:c>
      <x:c r="C4" s="44" t="str">
        <x:v>2023</x:v>
      </x:c>
      <x:c r="D4" s="44" t="str">
        <x:v>2024</x:v>
      </x:c>
      <x:c r="E4" s="44" t="str">
        <x:v>2025</x:v>
      </x:c>
      <x:c r="F4" s="44" t="str">
        <x:v>2026E/Son</x:v>
      </x:c>
      <x:c r="G4" s="44" t="str">
        <x:v>2027</x:v>
      </x:c>
      <x:c r="H4" s="44" t="str">
        <x:v>2028</x:v>
      </x:c>
      <x:c r="I4" s="44" t="str">
        <x:v>2029</x:v>
      </x:c>
      <x:c r="J4" s="45" t="str">
        <x:v>2030</x:v>
      </x:c>
    </x:row>
    <x:row r="5">
      <x:c r="A5" s="183" t="str">
        <x:v>Satılan ev sayısı (adet)</x:v>
      </x:c>
      <x:c r="B5" s="184" t="n">
        <x:v>259654</x:v>
      </x:c>
      <x:c r="C5" s="184" t="n">
        <x:v>198739</x:v>
      </x:c>
      <x:c r="D5" s="184" t="n">
        <x:v>239213</x:v>
      </x:c>
      <x:c r="E5" s="184" t="n">
        <x:v>280262</x:v>
      </x:c>
      <x:c r="F5" s="185" t="n">
        <x:f>E5*'Varsayımlar'!$B$5</x:f>
        <x:v>264926.1825241425</x:v>
      </x:c>
      <x:c r="G5" s="186" t="n">
        <x:f>F5*(1+('Varsayımlar'!$B$31*$B$16+(1-'Varsayımlar'!$B$31)*'Varsayımlar'!$B$10))</x:f>
        <x:v>268242.7883501454</x:v>
      </x:c>
      <x:c r="H5" s="186" t="n">
        <x:f>G5*(1+('Varsayımlar'!$B$32*$B$16+(1-'Varsayımlar'!$B$32)*'Varsayımlar'!$B$10))</x:f>
        <x:v>272202.9335260023</x:v>
      </x:c>
      <x:c r="I5" s="186" t="n">
        <x:f>H5*(1+('Varsayımlar'!$B$33*$B$16+(1-'Varsayımlar'!$B$33)*'Varsayımlar'!$B$10))</x:f>
        <x:v>276832.45006151573</x:v>
      </x:c>
      <x:c r="J5" s="187" t="n">
        <x:f>I5*(1+'Varsayımlar'!$B$10)</x:f>
        <x:v>282369.09906274604</x:v>
      </x:c>
    </x:row>
    <x:row r="6">
      <x:c r="A6" s="183" t="str">
        <x:v>Ortalama satılık konut alanı (m²)</x:v>
      </x:c>
      <x:c r="B6" s="188" t="n">
        <x:f>B8/B7</x:f>
        <x:v>120</x:v>
      </x:c>
      <x:c r="C6" s="188" t="n">
        <x:f>C8/C7</x:f>
        <x:v>115</x:v>
      </x:c>
      <x:c r="D6" s="188" t="n">
        <x:f>D8/D7</x:f>
        <x:v>113.95374818456038</x:v>
      </x:c>
      <x:c r="E6" s="188" t="n">
        <x:f>E8/E7</x:f>
        <x:v>114.0408473580537</x:v>
      </x:c>
      <x:c r="F6" s="189" t="n">
        <x:f>F8/F7</x:f>
        <x:v>110</x:v>
      </x:c>
      <x:c r="G6" s="190" t="n">
        <x:f>$F$6</x:f>
        <x:v>110</x:v>
      </x:c>
      <x:c r="H6" s="190" t="n">
        <x:f>$F$6</x:f>
        <x:v>110</x:v>
      </x:c>
      <x:c r="I6" s="190" t="n">
        <x:f>$F$6</x:f>
        <x:v>110</x:v>
      </x:c>
      <x:c r="J6" s="191" t="n">
        <x:f>$F$6</x:f>
        <x:v>110</x:v>
      </x:c>
    </x:row>
    <x:row r="7">
      <x:c r="A7" s="183" t="str">
        <x:v>Ortalama satılık m² fiyatı (TL/m²)</x:v>
      </x:c>
      <x:c r="B7" s="192" t="n">
        <x:v>23062</x:v>
      </x:c>
      <x:c r="C7" s="192" t="n">
        <x:v>36262</x:v>
      </x:c>
      <x:c r="D7" s="192" t="n">
        <x:v>44755</x:v>
      </x:c>
      <x:c r="E7" s="192" t="n">
        <x:v>57874</x:v>
      </x:c>
      <x:c r="F7" s="193" t="n">
        <x:v>65078</x:v>
      </x:c>
      <x:c r="G7" s="194" t="n">
        <x:f>F7*(1+'Varsayımlar'!$B$8)</x:f>
        <x:v>74839.7</x:v>
      </x:c>
      <x:c r="H7" s="194" t="n">
        <x:f>G7*(1+'Varsayımlar'!$C$8)</x:f>
        <x:v>81575.273</x:v>
      </x:c>
      <x:c r="I7" s="194" t="n">
        <x:f>H7*(1+'Varsayımlar'!$D$8)</x:f>
        <x:v>86469.78938</x:v>
      </x:c>
      <x:c r="J7" s="195" t="n">
        <x:f>I7*(1+'Varsayımlar'!$E$8)</x:f>
        <x:v>90793.27884900001</x:v>
      </x:c>
    </x:row>
    <x:row r="8">
      <x:c r="A8" s="183" t="str">
        <x:v>Ortalama ev fiyatı (TL)</x:v>
      </x:c>
      <x:c r="B8" s="196" t="n">
        <x:v>2767440</x:v>
      </x:c>
      <x:c r="C8" s="196" t="n">
        <x:v>4170130</x:v>
      </x:c>
      <x:c r="D8" s="196" t="n">
        <x:v>5100000</x:v>
      </x:c>
      <x:c r="E8" s="196" t="n">
        <x:v>6600000</x:v>
      </x:c>
      <x:c r="F8" s="197" t="n">
        <x:v>7158580</x:v>
      </x:c>
      <x:c r="G8" s="198" t="n">
        <x:f>G7*G6</x:f>
        <x:v>8232367</x:v>
      </x:c>
      <x:c r="H8" s="198" t="n">
        <x:f>H7*H6</x:f>
        <x:v>8973280.03</x:v>
      </x:c>
      <x:c r="I8" s="198" t="n">
        <x:f>I7*I6</x:f>
        <x:v>9511676.8318</x:v>
      </x:c>
      <x:c r="J8" s="199" t="n">
        <x:f>J7*J6</x:f>
        <x:v>9987260.673390001</x:v>
      </x:c>
    </x:row>
    <x:row r="9">
      <x:c r="A9" s="183" t="str">
        <x:v>Kiralanan ev sayısı (adet/yıl, platform proxy)</x:v>
      </x:c>
      <x:c r="B9" s="200" t="n">
        <x:f>'Varsayımlar'!B26</x:f>
        <x:v>140944.608</x:v>
      </x:c>
      <x:c r="C9" s="200" t="n">
        <x:f>'Varsayımlar'!C26</x:f>
        <x:v>155616</x:v>
      </x:c>
      <x:c r="D9" s="200" t="n">
        <x:f>C9*(1+'Varsayımlar'!B20)</x:f>
        <x:v>160284.48</x:v>
      </x:c>
      <x:c r="E9" s="200" t="n">
        <x:f>D9*(1+'Varsayımlar'!C20)</x:f>
        <x:v>165093.01440000001</x:v>
      </x:c>
      <x:c r="F9" s="185" t="n">
        <x:f>E9*(1+'Varsayımlar'!D20)</x:f>
        <x:v>170045.80483200002</x:v>
      </x:c>
      <x:c r="G9" s="186" t="n">
        <x:f>F9*(1+('Varsayımlar'!$B$31*$B$17+(1-'Varsayımlar'!$B$31)*'Varsayımlar'!$B$10))</x:f>
        <x:v>175831.07201220206</x:v>
      </x:c>
      <x:c r="H9" s="186" t="n">
        <x:f>G9*(1+('Varsayımlar'!$B$32*$B$17+(1-'Varsayımlar'!$B$32)*'Varsayımlar'!$B$10))</x:f>
        <x:v>181073.5231795791</x:v>
      </x:c>
      <x:c r="I9" s="186" t="n">
        <x:f>H9*(1+('Varsayımlar'!$B$33*$B$17+(1-'Varsayımlar'!$B$33)*'Varsayımlar'!$B$10))</x:f>
        <x:v>185710.58553413014</x:v>
      </x:c>
      <x:c r="J9" s="187" t="n">
        <x:f>I9*(1+'Varsayımlar'!$B$10)</x:f>
        <x:v>189424.79724481274</x:v>
      </x:c>
    </x:row>
    <x:row r="10">
      <x:c r="A10" s="183" t="str">
        <x:v>Ortalama kiralanan alan (m², ima edilen)</x:v>
      </x:c>
      <x:c r="B10" s="188" t="n">
        <x:f>B12/B11</x:f>
        <x:v>98.84269662921348</x:v>
      </x:c>
      <x:c r="C10" s="188" t="n">
        <x:f>C12/C11</x:f>
        <x:v>101.52336987882285</x:v>
      </x:c>
      <x:c r="D10" s="188" t="n">
        <x:f>D12/D11</x:f>
        <x:v>99.50424425287356</x:v>
      </x:c>
      <x:c r="E10" s="188" t="n">
        <x:f>E12/E11</x:f>
        <x:v>97.19252873563218</x:v>
      </x:c>
      <x:c r="F10" s="189" t="n">
        <x:f>F12/F11</x:f>
        <x:v>97.72617743702081</x:v>
      </x:c>
      <x:c r="G10" s="190" t="n">
        <x:f>$F$10</x:f>
        <x:v>97.72617743702081</x:v>
      </x:c>
      <x:c r="H10" s="190" t="n">
        <x:f>$F$10</x:f>
        <x:v>97.72617743702081</x:v>
      </x:c>
      <x:c r="I10" s="190" t="n">
        <x:f>$F$10</x:f>
        <x:v>97.72617743702081</x:v>
      </x:c>
      <x:c r="J10" s="191" t="n">
        <x:f>$F$10</x:f>
        <x:v>97.72617743702081</x:v>
      </x:c>
    </x:row>
    <x:row r="11">
      <x:c r="A11" s="183" t="str">
        <x:v>Ortalama kiralık m² fiyatı (TL/m²/ay)</x:v>
      </x:c>
      <x:c r="B11" s="192" t="n">
        <x:v>100</x:v>
      </x:c>
      <x:c r="C11" s="192" t="n">
        <x:v>173.3</x:v>
      </x:c>
      <x:c r="D11" s="201" t="n">
        <x:f>E11/(1+'Varsayımlar'!B14)</x:f>
        <x:v>254.57205559619604</x:v>
      </x:c>
      <x:c r="E11" s="192" t="n">
        <x:v>348</x:v>
      </x:c>
      <x:c r="F11" s="193" t="n">
        <x:v>456.5</x:v>
      </x:c>
      <x:c r="G11" s="202" t="n">
        <x:f>F11*(1+'Varsayımlar'!$B$8)</x:f>
        <x:v>524.9749999999999</x:v>
      </x:c>
      <x:c r="H11" s="202" t="n">
        <x:f>G11*(1+'Varsayımlar'!$C$8)</x:f>
        <x:v>572.2227499999999</x:v>
      </x:c>
      <x:c r="I11" s="202" t="n">
        <x:f>H11*(1+'Varsayımlar'!$D$8)</x:f>
        <x:v>606.556115</x:v>
      </x:c>
      <x:c r="J11" s="203" t="n">
        <x:f>I11*(1+'Varsayımlar'!$E$8)</x:f>
        <x:v>636.88392075</x:v>
      </x:c>
    </x:row>
    <x:row r="12">
      <x:c r="A12" s="204" t="str">
        <x:v>Ortalama kira fiyatı (TL/ay)</x:v>
      </x:c>
      <x:c r="B12" s="205" t="n">
        <x:f>C12/(1+'Varsayımlar'!C14)</x:f>
        <x:v>9884.269662921348</x:v>
      </x:c>
      <x:c r="C12" s="206" t="n">
        <x:v>17594</x:v>
      </x:c>
      <x:c r="D12" s="206" t="n">
        <x:v>25331</x:v>
      </x:c>
      <x:c r="E12" s="206" t="n">
        <x:v>33823</x:v>
      </x:c>
      <x:c r="F12" s="207" t="n">
        <x:v>44612</x:v>
      </x:c>
      <x:c r="G12" s="208" t="n">
        <x:f>G11*G10</x:f>
        <x:v>51303.79999999999</x:v>
      </x:c>
      <x:c r="H12" s="208" t="n">
        <x:f>H11*H10</x:f>
        <x:v>55921.14199999999</x:v>
      </x:c>
      <x:c r="I12" s="208" t="n">
        <x:f>I11*I10</x:f>
        <x:v>59276.41052</x:v>
      </x:c>
      <x:c r="J12" s="209" t="n">
        <x:f>J11*J10</x:f>
        <x:v>62240.231046</x:v>
      </x:c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</x:row>
    <x:row r="15">
      <x:c r="A15" s="210" t="str">
        <x:v>Model yardımcısı</x:v>
      </x:c>
      <x:c r="B15" s="211" t="str">
        <x:v>Değer</x:v>
      </x:c>
      <x:c r="C15" s="47"/>
      <x:c r="D15" s="47"/>
      <x:c r="E15" s="47"/>
      <x:c r="F15" s="47"/>
      <x:c r="G15" s="47"/>
      <x:c r="H15" s="47"/>
      <x:c r="I15" s="47"/>
      <x:c r="J15" s="47"/>
    </x:row>
    <x:row r="16">
      <x:c r="A16" s="212" t="str">
        <x:v>Satış adedi 2022–2026 CAGR</x:v>
      </x:c>
      <x:c r="B16" s="213" t="n">
        <x:f>POWER(F5/B5,1/4)-1</x:f>
        <x:v>0.005037961853397999</x:v>
      </x:c>
      <x:c r="C16" s="47"/>
      <x:c r="D16" s="47"/>
      <x:c r="E16" s="47"/>
      <x:c r="F16" s="47"/>
      <x:c r="G16" s="47"/>
      <x:c r="H16" s="47"/>
      <x:c r="I16" s="47"/>
      <x:c r="J16" s="47"/>
    </x:row>
    <x:row r="17">
      <x:c r="A17" s="214" t="str">
        <x:v>Kira proxy 2022–2026 CAGR</x:v>
      </x:c>
      <x:c r="B17" s="215" t="n">
        <x:f>POWER(F9/B9,1/4)-1</x:f>
        <x:v>0.048043633136585884</x:v>
      </x:c>
      <x:c r="C17" s="47"/>
      <x:c r="D17" s="47"/>
      <x:c r="E17" s="47"/>
      <x:c r="F17" s="47"/>
      <x:c r="G17" s="47"/>
      <x:c r="H17" s="47"/>
      <x:c r="I17" s="47"/>
      <x:c r="J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</x:row>
    <x:row r="19">
      <x:c r="A19" s="43" t="str">
        <x:v>Veri dönemi / türü</x:v>
      </x:c>
      <x:c r="B19" s="44" t="str">
        <x:v>2022</x:v>
      </x:c>
      <x:c r="C19" s="44" t="str">
        <x:v>2023</x:v>
      </x:c>
      <x:c r="D19" s="44" t="str">
        <x:v>2024</x:v>
      </x:c>
      <x:c r="E19" s="44" t="str">
        <x:v>2025</x:v>
      </x:c>
      <x:c r="F19" s="44" t="str">
        <x:v>2026E/Son</x:v>
      </x:c>
      <x:c r="G19" s="44" t="str">
        <x:v>2027F</x:v>
      </x:c>
      <x:c r="H19" s="44" t="str">
        <x:v>2028F</x:v>
      </x:c>
      <x:c r="I19" s="44" t="str">
        <x:v>2029F</x:v>
      </x:c>
      <x:c r="J19" s="45" t="str">
        <x:v>2030F</x:v>
      </x:c>
    </x:row>
    <x:row r="20">
      <x:c r="A20" s="46" t="str">
        <x:v>Satış adedi</x:v>
      </x:c>
      <x:c r="B20" s="47" t="str">
        <x:v>TÜİK</x:v>
      </x:c>
      <x:c r="C20" s="47" t="str">
        <x:v>TÜİK</x:v>
      </x:c>
      <x:c r="D20" s="47" t="str">
        <x:v>TÜİK</x:v>
      </x:c>
      <x:c r="E20" s="47" t="str">
        <x:v>TÜİK</x:v>
      </x:c>
      <x:c r="F20" s="47" t="str">
        <x:v>Yıllık tahmin</x:v>
      </x:c>
      <x:c r="G20" s="47" t="str">
        <x:v>Tahmin</x:v>
      </x:c>
      <x:c r="H20" s="47" t="str">
        <x:v>Tahmin</x:v>
      </x:c>
      <x:c r="I20" s="47" t="str">
        <x:v>Tahmin</x:v>
      </x:c>
      <x:c r="J20" s="48" t="str">
        <x:v>Tahmin</x:v>
      </x:c>
    </x:row>
    <x:row r="21">
      <x:c r="A21" s="46" t="str">
        <x:v>Fiyat/kira</x:v>
      </x:c>
      <x:c r="B21" s="47" t="str">
        <x:v>Yıl sonu</x:v>
      </x:c>
      <x:c r="C21" s="47" t="str">
        <x:v>Yıl sonu</x:v>
      </x:c>
      <x:c r="D21" s="47" t="str">
        <x:v>Yıl sonu/türetilmiş</x:v>
      </x:c>
      <x:c r="E21" s="47" t="str">
        <x:v>Yıl sonu</x:v>
      </x:c>
      <x:c r="F21" s="47" t="str">
        <x:v>Temmuz son gözlem</x:v>
      </x:c>
      <x:c r="G21" s="47" t="str">
        <x:v>Tahmin</x:v>
      </x:c>
      <x:c r="H21" s="47" t="str">
        <x:v>Tahmin</x:v>
      </x:c>
      <x:c r="I21" s="47" t="str">
        <x:v>Tahmin</x:v>
      </x:c>
      <x:c r="J21" s="48" t="str">
        <x:v>Tahmin</x:v>
      </x:c>
    </x:row>
    <x:row r="22">
      <x:c r="A22" s="56" t="str">
        <x:v>Kira işlem adedi</x:v>
      </x:c>
      <x:c r="B22" s="58" t="str">
        <x:v>Platform proxy</x:v>
      </x:c>
      <x:c r="C22" s="58" t="str">
        <x:v>Platform proxy</x:v>
      </x:c>
      <x:c r="D22" s="58" t="str">
        <x:v>Model proxy</x:v>
      </x:c>
      <x:c r="E22" s="58" t="str">
        <x:v>Model proxy</x:v>
      </x:c>
      <x:c r="F22" s="58" t="str">
        <x:v>Model proxy</x:v>
      </x:c>
      <x:c r="G22" s="58" t="str">
        <x:v>Tahmin proxy</x:v>
      </x:c>
      <x:c r="H22" s="58" t="str">
        <x:v>Tahmin proxy</x:v>
      </x:c>
      <x:c r="I22" s="58" t="str">
        <x:v>Tahmin proxy</x:v>
      </x:c>
      <x:c r="J22" s="59" t="str">
        <x:v>Tahmin proxy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52" t="str">
        <x:v>Ankara Konut Piyasası — 2022–2030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81" t="str">
        <x:v>2022–2025: gerçekleşen/yıl sonu piyasa gözlemi | 2026E/Son: satış adedi tahmini + fiyat/kira son gözlem | 2027–2030: model tahmini</x:v>
      </x:c>
      <x:c r="B2" s="81"/>
      <x:c r="C2" s="81"/>
      <x:c r="D2" s="81"/>
      <x:c r="E2" s="81"/>
      <x:c r="F2" s="81"/>
      <x:c r="G2" s="81"/>
      <x:c r="H2" s="81"/>
      <x:c r="I2" s="81"/>
      <x:c r="J2" s="81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</x:row>
    <x:row r="4">
      <x:c r="A4" s="43" t="str">
        <x:v>Gösterge</x:v>
      </x:c>
      <x:c r="B4" s="44" t="str">
        <x:v>2022</x:v>
      </x:c>
      <x:c r="C4" s="44" t="str">
        <x:v>2023</x:v>
      </x:c>
      <x:c r="D4" s="44" t="str">
        <x:v>2024</x:v>
      </x:c>
      <x:c r="E4" s="44" t="str">
        <x:v>2025</x:v>
      </x:c>
      <x:c r="F4" s="44" t="str">
        <x:v>2026E/Son</x:v>
      </x:c>
      <x:c r="G4" s="44" t="str">
        <x:v>2027</x:v>
      </x:c>
      <x:c r="H4" s="44" t="str">
        <x:v>2028</x:v>
      </x:c>
      <x:c r="I4" s="44" t="str">
        <x:v>2029</x:v>
      </x:c>
      <x:c r="J4" s="45" t="str">
        <x:v>2030</x:v>
      </x:c>
    </x:row>
    <x:row r="5">
      <x:c r="A5" s="183" t="str">
        <x:v>Satılan ev sayısı (adet)</x:v>
      </x:c>
      <x:c r="B5" s="184" t="n">
        <x:v>126166</x:v>
      </x:c>
      <x:c r="C5" s="184" t="n">
        <x:v>114432</x:v>
      </x:c>
      <x:c r="D5" s="184" t="n">
        <x:v>134046</x:v>
      </x:c>
      <x:c r="E5" s="184" t="n">
        <x:v>152534</x:v>
      </x:c>
      <x:c r="F5" s="185" t="n">
        <x:f>E5*'Varsayımlar'!$B$5</x:f>
        <x:v>144187.40437568258</x:v>
      </x:c>
      <x:c r="G5" s="186" t="n">
        <x:f>F5*(1+('Varsayımlar'!$B$31*$B$16+(1-'Varsayımlar'!$B$31)*'Varsayımlar'!$B$10))</x:f>
        <x:v>148076.2948952132</x:v>
      </x:c>
      <x:c r="H5" s="186" t="n">
        <x:f>G5*(1+('Varsayımlar'!$B$32*$B$16+(1-'Varsayımlar'!$B$32)*'Varsayımlar'!$B$10))</x:f>
        <x:v>151760.39734183645</x:v>
      </x:c>
      <x:c r="I5" s="186" t="n">
        <x:f>H5*(1+('Varsayımlar'!$B$33*$B$16+(1-'Varsayımlar'!$B$33)*'Varsayımlar'!$B$10))</x:f>
        <x:v>155218.7790479305</x:v>
      </x:c>
      <x:c r="J5" s="187" t="n">
        <x:f>I5*(1+'Varsayımlar'!$B$10)</x:f>
        <x:v>158323.1546288891</x:v>
      </x:c>
    </x:row>
    <x:row r="6">
      <x:c r="A6" s="183" t="str">
        <x:v>Ortalama satılık konut alanı (m²)</x:v>
      </x:c>
      <x:c r="B6" s="188" t="n">
        <x:f>B8/B7</x:f>
        <x:v>132</x:v>
      </x:c>
      <x:c r="C6" s="188" t="n">
        <x:f>C8/C7</x:f>
        <x:v>130</x:v>
      </x:c>
      <x:c r="D6" s="188" t="n">
        <x:f>D8/D7</x:f>
        <x:v>129.50317871438662</x:v>
      </x:c>
      <x:c r="E6" s="188" t="n">
        <x:f>E8/E7</x:f>
        <x:v>129.20276024078697</x:v>
      </x:c>
      <x:c r="F6" s="189" t="n">
        <x:f>F8/F7</x:f>
        <x:v>130</x:v>
      </x:c>
      <x:c r="G6" s="190" t="n">
        <x:f>$F$6</x:f>
        <x:v>130</x:v>
      </x:c>
      <x:c r="H6" s="190" t="n">
        <x:f>$F$6</x:f>
        <x:v>130</x:v>
      </x:c>
      <x:c r="I6" s="190" t="n">
        <x:f>$F$6</x:f>
        <x:v>130</x:v>
      </x:c>
      <x:c r="J6" s="191" t="n">
        <x:f>$F$6</x:f>
        <x:v>130</x:v>
      </x:c>
    </x:row>
    <x:row r="7">
      <x:c r="A7" s="183" t="str">
        <x:v>Ortalama satılık m² fiyatı (TL/m²)</x:v>
      </x:c>
      <x:c r="B7" s="192" t="n">
        <x:v>10282</x:v>
      </x:c>
      <x:c r="C7" s="192" t="n">
        <x:v>19770</x:v>
      </x:c>
      <x:c r="D7" s="192" t="n">
        <x:v>25482</x:v>
      </x:c>
      <x:c r="E7" s="192" t="n">
        <x:v>34055</x:v>
      </x:c>
      <x:c r="F7" s="193" t="n">
        <x:v>38674</x:v>
      </x:c>
      <x:c r="G7" s="194" t="n">
        <x:f>F7*(1+'Varsayımlar'!$B$8)</x:f>
        <x:v>44475.1</x:v>
      </x:c>
      <x:c r="H7" s="194" t="n">
        <x:f>G7*(1+'Varsayımlar'!$C$8)</x:f>
        <x:v>48477.859000000004</x:v>
      </x:c>
      <x:c r="I7" s="194" t="n">
        <x:f>H7*(1+'Varsayımlar'!$D$8)</x:f>
        <x:v>51386.53054000001</x:v>
      </x:c>
      <x:c r="J7" s="195" t="n">
        <x:f>I7*(1+'Varsayımlar'!$E$8)</x:f>
        <x:v>53955.85706700001</x:v>
      </x:c>
    </x:row>
    <x:row r="8">
      <x:c r="A8" s="183" t="str">
        <x:v>Ortalama ev fiyatı (TL)</x:v>
      </x:c>
      <x:c r="B8" s="196" t="n">
        <x:v>1357224</x:v>
      </x:c>
      <x:c r="C8" s="196" t="n">
        <x:v>2570100</x:v>
      </x:c>
      <x:c r="D8" s="196" t="n">
        <x:v>3300000</x:v>
      </x:c>
      <x:c r="E8" s="196" t="n">
        <x:v>4400000</x:v>
      </x:c>
      <x:c r="F8" s="197" t="n">
        <x:v>5027620</x:v>
      </x:c>
      <x:c r="G8" s="198" t="n">
        <x:f>G7*G6</x:f>
        <x:v>5781763</x:v>
      </x:c>
      <x:c r="H8" s="198" t="n">
        <x:f>H7*H6</x:f>
        <x:v>6302121.670000001</x:v>
      </x:c>
      <x:c r="I8" s="198" t="n">
        <x:f>I7*I6</x:f>
        <x:v>6680248.970200001</x:v>
      </x:c>
      <x:c r="J8" s="199" t="n">
        <x:f>J7*J6</x:f>
        <x:v>7014261.418710002</x:v>
      </x:c>
    </x:row>
    <x:row r="9">
      <x:c r="A9" s="183" t="str">
        <x:v>Kiralanan ev sayısı (adet/yıl, platform proxy)</x:v>
      </x:c>
      <x:c r="B9" s="200" t="n">
        <x:f>'Varsayımlar'!B27</x:f>
        <x:v>36561.912</x:v>
      </x:c>
      <x:c r="C9" s="200" t="n">
        <x:f>'Varsayımlar'!C27</x:f>
        <x:v>35664</x:v>
      </x:c>
      <x:c r="D9" s="200" t="n">
        <x:f>C9*(1+'Varsayımlar'!B21)</x:f>
        <x:v>37803.840000000004</x:v>
      </x:c>
      <x:c r="E9" s="200" t="n">
        <x:f>D9*(1+'Varsayımlar'!C21)</x:f>
        <x:v>39694.03200000001</x:v>
      </x:c>
      <x:c r="F9" s="185" t="n">
        <x:f>E9*(1+'Varsayımlar'!D21)</x:f>
        <x:v>41678.73360000001</x:v>
      </x:c>
      <x:c r="G9" s="186" t="n">
        <x:f>F9*(1+('Varsayımlar'!$B$31*$B$17+(1-'Varsayımlar'!$B$31)*'Varsayımlar'!$B$10))</x:f>
        <x:v>42789.22267555454</x:v>
      </x:c>
      <x:c r="H9" s="186" t="n">
        <x:f>G9*(1+('Varsayımlar'!$B$32*$B$17+(1-'Varsayımlar'!$B$32)*'Varsayımlar'!$B$10))</x:f>
        <x:v>43844.011890885806</x:v>
      </x:c>
      <x:c r="I9" s="186" t="n">
        <x:f>H9*(1+('Varsayımlar'!$B$33*$B$17+(1-'Varsayımlar'!$B$33)*'Varsayımlar'!$B$10))</x:f>
        <x:v>44837.41235236217</x:v>
      </x:c>
      <x:c r="J9" s="187" t="n">
        <x:f>I9*(1+'Varsayımlar'!$B$10)</x:f>
        <x:v>45734.16059940941</x:v>
      </x:c>
    </x:row>
    <x:row r="10">
      <x:c r="A10" s="183" t="str">
        <x:v>Ortalama kiralanan alan (m², ima edilen)</x:v>
      </x:c>
      <x:c r="B10" s="188" t="n">
        <x:f>B12/B11</x:f>
        <x:v>114.78035757624788</x:v>
      </x:c>
      <x:c r="C10" s="188" t="n">
        <x:f>C12/C11</x:f>
        <x:v>120.03384094754652</x:v>
      </x:c>
      <x:c r="D10" s="188" t="n">
        <x:f>D12/D11</x:f>
        <x:v>119.77031799094279</x:v>
      </x:c>
      <x:c r="E10" s="188" t="n">
        <x:f>E12/E11</x:f>
        <x:v>119.77031799094279</x:v>
      </x:c>
      <x:c r="F10" s="189" t="n">
        <x:f>F12/F11</x:f>
        <x:v>114.43726623597415</x:v>
      </x:c>
      <x:c r="G10" s="190" t="n">
        <x:f>$F$10</x:f>
        <x:v>114.43726623597415</x:v>
      </x:c>
      <x:c r="H10" s="190" t="n">
        <x:f>$F$10</x:f>
        <x:v>114.43726623597415</x:v>
      </x:c>
      <x:c r="I10" s="190" t="n">
        <x:f>$F$10</x:f>
        <x:v>114.43726623597415</x:v>
      </x:c>
      <x:c r="J10" s="191" t="n">
        <x:f>$F$10</x:f>
        <x:v>114.43726623597415</x:v>
      </x:c>
    </x:row>
    <x:row r="11">
      <x:c r="A11" s="183" t="str">
        <x:v>Ortalama kiralık m² fiyatı (TL/m²/ay)</x:v>
      </x:c>
      <x:c r="B11" s="192" t="n">
        <x:v>47</x:v>
      </x:c>
      <x:c r="C11" s="192" t="n">
        <x:v>118.2</x:v>
      </x:c>
      <x:c r="D11" s="201" t="n">
        <x:f>E11/(1+'Varsayımlar'!B15)</x:f>
        <x:v>180.05930318754633</x:v>
      </x:c>
      <x:c r="E11" s="192" t="n">
        <x:v>242.9</x:v>
      </x:c>
      <x:c r="F11" s="193" t="n">
        <x:v>294.1</x:v>
      </x:c>
      <x:c r="G11" s="202" t="n">
        <x:f>F11*(1+'Varsayımlar'!$B$8)</x:f>
        <x:v>338.215</x:v>
      </x:c>
      <x:c r="H11" s="202" t="n">
        <x:f>G11*(1+'Varsayımlar'!$C$8)</x:f>
        <x:v>368.65435</x:v>
      </x:c>
      <x:c r="I11" s="202" t="n">
        <x:f>H11*(1+'Varsayımlar'!$D$8)</x:f>
        <x:v>390.773611</x:v>
      </x:c>
      <x:c r="J11" s="203" t="n">
        <x:f>I11*(1+'Varsayımlar'!$E$8)</x:f>
        <x:v>410.31229155000005</x:v>
      </x:c>
    </x:row>
    <x:row r="12">
      <x:c r="A12" s="204" t="str">
        <x:v>Ortalama kira fiyatı (TL/ay)</x:v>
      </x:c>
      <x:c r="B12" s="205" t="n">
        <x:f>C12/(1+'Varsayımlar'!C15)</x:f>
        <x:v>5394.67680608365</x:v>
      </x:c>
      <x:c r="C12" s="206" t="n">
        <x:v>14188</x:v>
      </x:c>
      <x:c r="D12" s="253" t="n">
        <x:f>C12*(1+'Varsayımlar'!D15)</x:f>
        <x:v>21565.760000000002</x:v>
      </x:c>
      <x:c r="E12" s="253" t="n">
        <x:f>D12/D11*E11</x:f>
        <x:v>29092.210240000004</x:v>
      </x:c>
      <x:c r="F12" s="207" t="n">
        <x:v>33656</x:v>
      </x:c>
      <x:c r="G12" s="208" t="n">
        <x:f>G11*G10</x:f>
        <x:v>38704.399999999994</x:v>
      </x:c>
      <x:c r="H12" s="208" t="n">
        <x:f>H11*H10</x:f>
        <x:v>42187.796</x:v>
      </x:c>
      <x:c r="I12" s="208" t="n">
        <x:f>I11*I10</x:f>
        <x:v>44719.06376</x:v>
      </x:c>
      <x:c r="J12" s="209" t="n">
        <x:f>J11*J10</x:f>
        <x:v>46955.016948000004</x:v>
      </x:c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</x:row>
    <x:row r="15">
      <x:c r="A15" s="210" t="str">
        <x:v>Model yardımcısı</x:v>
      </x:c>
      <x:c r="B15" s="211" t="str">
        <x:v>Değer</x:v>
      </x:c>
      <x:c r="C15" s="47"/>
      <x:c r="D15" s="47"/>
      <x:c r="E15" s="47"/>
      <x:c r="F15" s="47"/>
      <x:c r="G15" s="47"/>
      <x:c r="H15" s="47"/>
      <x:c r="I15" s="47"/>
      <x:c r="J15" s="47"/>
    </x:row>
    <x:row r="16">
      <x:c r="A16" s="212" t="str">
        <x:v>Satış adedi 2022–2026 CAGR</x:v>
      </x:c>
      <x:c r="B16" s="213" t="n">
        <x:f>POWER(F5/B5,1/4)-1</x:f>
        <x:v>0.03394216695097807</x:v>
      </x:c>
      <x:c r="C16" s="47"/>
      <x:c r="D16" s="47"/>
      <x:c r="E16" s="47"/>
      <x:c r="F16" s="47"/>
      <x:c r="G16" s="47"/>
      <x:c r="H16" s="47"/>
      <x:c r="I16" s="47"/>
      <x:c r="J16" s="47"/>
    </x:row>
    <x:row r="17">
      <x:c r="A17" s="214" t="str">
        <x:v>Kira proxy 2022–2026 CAGR</x:v>
      </x:c>
      <x:c r="B17" s="215" t="n">
        <x:f>POWER(F9/B9,1/4)-1</x:f>
        <x:v>0.0332880430683018</x:v>
      </x:c>
      <x:c r="C17" s="47"/>
      <x:c r="D17" s="47"/>
      <x:c r="E17" s="47"/>
      <x:c r="F17" s="47"/>
      <x:c r="G17" s="47"/>
      <x:c r="H17" s="47"/>
      <x:c r="I17" s="47"/>
      <x:c r="J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</x:row>
    <x:row r="19">
      <x:c r="A19" s="43" t="str">
        <x:v>Veri dönemi / türü</x:v>
      </x:c>
      <x:c r="B19" s="44" t="str">
        <x:v>2022</x:v>
      </x:c>
      <x:c r="C19" s="44" t="str">
        <x:v>2023</x:v>
      </x:c>
      <x:c r="D19" s="44" t="str">
        <x:v>2024</x:v>
      </x:c>
      <x:c r="E19" s="44" t="str">
        <x:v>2025</x:v>
      </x:c>
      <x:c r="F19" s="44" t="str">
        <x:v>2026E/Son</x:v>
      </x:c>
      <x:c r="G19" s="44" t="str">
        <x:v>2027F</x:v>
      </x:c>
      <x:c r="H19" s="44" t="str">
        <x:v>2028F</x:v>
      </x:c>
      <x:c r="I19" s="44" t="str">
        <x:v>2029F</x:v>
      </x:c>
      <x:c r="J19" s="45" t="str">
        <x:v>2030F</x:v>
      </x:c>
    </x:row>
    <x:row r="20">
      <x:c r="A20" s="46" t="str">
        <x:v>Satış adedi</x:v>
      </x:c>
      <x:c r="B20" s="47" t="str">
        <x:v>TÜİK</x:v>
      </x:c>
      <x:c r="C20" s="47" t="str">
        <x:v>TÜİK</x:v>
      </x:c>
      <x:c r="D20" s="47" t="str">
        <x:v>TÜİK</x:v>
      </x:c>
      <x:c r="E20" s="47" t="str">
        <x:v>TÜİK</x:v>
      </x:c>
      <x:c r="F20" s="47" t="str">
        <x:v>Yıllık tahmin</x:v>
      </x:c>
      <x:c r="G20" s="47" t="str">
        <x:v>Tahmin</x:v>
      </x:c>
      <x:c r="H20" s="47" t="str">
        <x:v>Tahmin</x:v>
      </x:c>
      <x:c r="I20" s="47" t="str">
        <x:v>Tahmin</x:v>
      </x:c>
      <x:c r="J20" s="48" t="str">
        <x:v>Tahmin</x:v>
      </x:c>
    </x:row>
    <x:row r="21">
      <x:c r="A21" s="46" t="str">
        <x:v>Fiyat/kira</x:v>
      </x:c>
      <x:c r="B21" s="47" t="str">
        <x:v>Yıl sonu</x:v>
      </x:c>
      <x:c r="C21" s="47" t="str">
        <x:v>Yıl sonu</x:v>
      </x:c>
      <x:c r="D21" s="47" t="str">
        <x:v>Yıl sonu/türetilmiş</x:v>
      </x:c>
      <x:c r="E21" s="47" t="str">
        <x:v>Yıl sonu</x:v>
      </x:c>
      <x:c r="F21" s="47" t="str">
        <x:v>Temmuz son gözlem</x:v>
      </x:c>
      <x:c r="G21" s="47" t="str">
        <x:v>Tahmin</x:v>
      </x:c>
      <x:c r="H21" s="47" t="str">
        <x:v>Tahmin</x:v>
      </x:c>
      <x:c r="I21" s="47" t="str">
        <x:v>Tahmin</x:v>
      </x:c>
      <x:c r="J21" s="48" t="str">
        <x:v>Tahmin</x:v>
      </x:c>
    </x:row>
    <x:row r="22">
      <x:c r="A22" s="56" t="str">
        <x:v>Kira işlem adedi</x:v>
      </x:c>
      <x:c r="B22" s="58" t="str">
        <x:v>Platform proxy</x:v>
      </x:c>
      <x:c r="C22" s="58" t="str">
        <x:v>Platform proxy</x:v>
      </x:c>
      <x:c r="D22" s="58" t="str">
        <x:v>Model proxy</x:v>
      </x:c>
      <x:c r="E22" s="58" t="str">
        <x:v>Model proxy</x:v>
      </x:c>
      <x:c r="F22" s="58" t="str">
        <x:v>Model proxy</x:v>
      </x:c>
      <x:c r="G22" s="58" t="str">
        <x:v>Tahmin proxy</x:v>
      </x:c>
      <x:c r="H22" s="58" t="str">
        <x:v>Tahmin proxy</x:v>
      </x:c>
      <x:c r="I22" s="58" t="str">
        <x:v>Tahmin proxy</x:v>
      </x:c>
      <x:c r="J22" s="59" t="str">
        <x:v>Tahmin proxy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52" t="str">
        <x:v>İzmir Konut Piyasası — 2022–2030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81" t="str">
        <x:v>2022–2025: gerçekleşen/yıl sonu piyasa gözlemi | 2026E/Son: satış adedi tahmini + fiyat/kira son gözlem | 2027–2030: model tahmini</x:v>
      </x:c>
      <x:c r="B2" s="81"/>
      <x:c r="C2" s="81"/>
      <x:c r="D2" s="81"/>
      <x:c r="E2" s="81"/>
      <x:c r="F2" s="81"/>
      <x:c r="G2" s="81"/>
      <x:c r="H2" s="81"/>
      <x:c r="I2" s="81"/>
      <x:c r="J2" s="81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</x:row>
    <x:row r="4">
      <x:c r="A4" s="43" t="str">
        <x:v>Gösterge</x:v>
      </x:c>
      <x:c r="B4" s="44" t="str">
        <x:v>2022</x:v>
      </x:c>
      <x:c r="C4" s="44" t="str">
        <x:v>2023</x:v>
      </x:c>
      <x:c r="D4" s="44" t="str">
        <x:v>2024</x:v>
      </x:c>
      <x:c r="E4" s="44" t="str">
        <x:v>2025</x:v>
      </x:c>
      <x:c r="F4" s="44" t="str">
        <x:v>2026E/Son</x:v>
      </x:c>
      <x:c r="G4" s="44" t="str">
        <x:v>2027</x:v>
      </x:c>
      <x:c r="H4" s="44" t="str">
        <x:v>2028</x:v>
      </x:c>
      <x:c r="I4" s="44" t="str">
        <x:v>2029</x:v>
      </x:c>
      <x:c r="J4" s="45" t="str">
        <x:v>2030</x:v>
      </x:c>
    </x:row>
    <x:row r="5">
      <x:c r="A5" s="183" t="str">
        <x:v>Satılan ev sayısı (adet)</x:v>
      </x:c>
      <x:c r="B5" s="184" t="n">
        <x:v>83502</x:v>
      </x:c>
      <x:c r="C5" s="184" t="n">
        <x:v>65465</x:v>
      </x:c>
      <x:c r="D5" s="184" t="n">
        <x:v>80398</x:v>
      </x:c>
      <x:c r="E5" s="184" t="n">
        <x:v>96998</x:v>
      </x:c>
      <x:c r="F5" s="185" t="n">
        <x:f>E5*'Varsayımlar'!$B$5</x:f>
        <x:v>91690.31068242136</x:v>
      </x:c>
      <x:c r="G5" s="186" t="n">
        <x:f>F5*(1+('Varsayımlar'!$B$31*$B$16+(1-'Varsayımlar'!$B$31)*'Varsayımlar'!$B$10))</x:f>
        <x:v>93692.00831685924</x:v>
      </x:c>
      <x:c r="H5" s="186" t="n">
        <x:f>G5*(1+('Varsayımlar'!$B$32*$B$16+(1-'Varsayımlar'!$B$32)*'Varsayımlar'!$B$10))</x:f>
        <x:v>95685.93815235668</x:v>
      </x:c>
      <x:c r="I5" s="186" t="n">
        <x:f>H5*(1+('Varsayımlar'!$B$33*$B$16+(1-'Varsayımlar'!$B$33)*'Varsayımlar'!$B$10))</x:f>
        <x:v>97669.73999391629</x:v>
      </x:c>
      <x:c r="J5" s="187" t="n">
        <x:f>I5*(1+'Varsayımlar'!$B$10)</x:f>
        <x:v>99623.13479379461</x:v>
      </x:c>
    </x:row>
    <x:row r="6">
      <x:c r="A6" s="183" t="str">
        <x:v>Ortalama satılık konut alanı (m²)</x:v>
      </x:c>
      <x:c r="B6" s="188" t="n">
        <x:f>B8/B7</x:f>
        <x:v>125.00000000000001</x:v>
      </x:c>
      <x:c r="C6" s="188" t="n">
        <x:f>C8/C7</x:f>
        <x:v>125</x:v>
      </x:c>
      <x:c r="D6" s="188" t="n">
        <x:f>D8/D7</x:f>
        <x:v>124.42002125508697</x:v>
      </x:c>
      <x:c r="E6" s="188" t="n">
        <x:f>E8/E7</x:f>
        <x:v>124.60024089379907</x:v>
      </x:c>
      <x:c r="F6" s="189" t="n">
        <x:f>F8/F7</x:f>
        <x:v>120</x:v>
      </x:c>
      <x:c r="G6" s="190" t="n">
        <x:f>$F$6</x:f>
        <x:v>120</x:v>
      </x:c>
      <x:c r="H6" s="190" t="n">
        <x:f>$F$6</x:f>
        <x:v>120</x:v>
      </x:c>
      <x:c r="I6" s="190" t="n">
        <x:f>$F$6</x:f>
        <x:v>120</x:v>
      </x:c>
      <x:c r="J6" s="191" t="n">
        <x:f>$F$6</x:f>
        <x:v>120</x:v>
      </x:c>
    </x:row>
    <x:row r="7">
      <x:c r="A7" s="183" t="str">
        <x:v>Ortalama satılık m² fiyatı (TL/m²)</x:v>
      </x:c>
      <x:c r="B7" s="261" t="n">
        <x:f>C7/(1+'Varsayımlar'!$E$16)</x:f>
        <x:v>16875.842696629214</x:v>
      </x:c>
      <x:c r="C7" s="192" t="n">
        <x:v>30039</x:v>
      </x:c>
      <x:c r="D7" s="192" t="n">
        <x:v>38579</x:v>
      </x:c>
      <x:c r="E7" s="192" t="n">
        <x:v>48154</x:v>
      </x:c>
      <x:c r="F7" s="193" t="n">
        <x:v>53974</x:v>
      </x:c>
      <x:c r="G7" s="194" t="n">
        <x:f>F7*(1+'Varsayımlar'!$B$8)</x:f>
        <x:v>62070.1</x:v>
      </x:c>
      <x:c r="H7" s="194" t="n">
        <x:f>G7*(1+'Varsayımlar'!$C$8)</x:f>
        <x:v>67656.409</x:v>
      </x:c>
      <x:c r="I7" s="194" t="n">
        <x:f>H7*(1+'Varsayımlar'!$D$8)</x:f>
        <x:v>71715.79354</x:v>
      </x:c>
      <x:c r="J7" s="195" t="n">
        <x:f>I7*(1+'Varsayımlar'!$E$8)</x:f>
        <x:v>75301.583217</x:v>
      </x:c>
    </x:row>
    <x:row r="8">
      <x:c r="A8" s="183" t="str">
        <x:v>Ortalama ev fiyatı (TL)</x:v>
      </x:c>
      <x:c r="B8" s="262" t="n">
        <x:f>C8/(1+'Varsayımlar'!$E$16)</x:f>
        <x:v>2109480.337078652</x:v>
      </x:c>
      <x:c r="C8" s="196" t="n">
        <x:v>3754875</x:v>
      </x:c>
      <x:c r="D8" s="196" t="n">
        <x:v>4800000</x:v>
      </x:c>
      <x:c r="E8" s="196" t="n">
        <x:v>6000000</x:v>
      </x:c>
      <x:c r="F8" s="197" t="n">
        <x:v>6476880</x:v>
      </x:c>
      <x:c r="G8" s="198" t="n">
        <x:f>G7*G6</x:f>
        <x:v>7448412</x:v>
      </x:c>
      <x:c r="H8" s="198" t="n">
        <x:f>H7*H6</x:f>
        <x:v>8118769.08</x:v>
      </x:c>
      <x:c r="I8" s="198" t="n">
        <x:f>I7*I6</x:f>
        <x:v>8605895.2248</x:v>
      </x:c>
      <x:c r="J8" s="199" t="n">
        <x:f>J7*J6</x:f>
        <x:v>9036189.98604</x:v>
      </x:c>
    </x:row>
    <x:row r="9">
      <x:c r="A9" s="183" t="str">
        <x:v>Kiralanan ev sayısı (adet/yıl, platform proxy)</x:v>
      </x:c>
      <x:c r="B9" s="200" t="n">
        <x:f>'Varsayımlar'!B28</x:f>
        <x:v>29366.028</x:v>
      </x:c>
      <x:c r="C9" s="200" t="n">
        <x:f>'Varsayımlar'!C28</x:f>
        <x:v>29724</x:v>
      </x:c>
      <x:c r="D9" s="200" t="n">
        <x:f>C9*(1+'Varsayımlar'!B22)</x:f>
        <x:v>31507.440000000002</x:v>
      </x:c>
      <x:c r="E9" s="200" t="n">
        <x:f>D9*(1+'Varsayımlar'!C22)</x:f>
        <x:v>33082.812000000005</x:v>
      </x:c>
      <x:c r="F9" s="185" t="n">
        <x:f>E9*(1+'Varsayımlar'!D22)</x:f>
        <x:v>34736.952600000004</x:v>
      </x:c>
      <x:c r="G9" s="186" t="n">
        <x:f>F9*(1+('Varsayımlar'!$B$31*$B$17+(1-'Varsayımlar'!$B$31)*'Varsayımlar'!$B$10))</x:f>
        <x:v>35829.1778198807</x:v>
      </x:c>
      <x:c r="H9" s="186" t="n">
        <x:f>G9*(1+('Varsayımlar'!$B$32*$B$17+(1-'Varsayımlar'!$B$32)*'Varsayımlar'!$B$10))</x:f>
        <x:v>36832.75033376557</x:v>
      </x:c>
      <x:c r="I9" s="186" t="n">
        <x:f>H9*(1+('Varsayımlar'!$B$33*$B$17+(1-'Varsayımlar'!$B$33)*'Varsayımlar'!$B$10))</x:f>
        <x:v>37737.992481071924</x:v>
      </x:c>
      <x:c r="J9" s="187" t="n">
        <x:f>I9*(1+'Varsayımlar'!$B$10)</x:f>
        <x:v>38492.752330693365</x:v>
      </x:c>
    </x:row>
    <x:row r="10">
      <x:c r="A10" s="183" t="str">
        <x:v>Ortalama kiralanan alan (m², ima edilen)</x:v>
      </x:c>
      <x:c r="B10" s="188" t="n">
        <x:f>B12/B11</x:f>
        <x:v>106.62970848565193</x:v>
      </x:c>
      <x:c r="C10" s="188" t="n">
        <x:f>C12/C11</x:f>
        <x:v>109.45704467353951</x:v>
      </x:c>
      <x:c r="D10" s="188" t="n">
        <x:f>D12/D11</x:f>
        <x:v>107.55055314285714</x:v>
      </x:c>
      <x:c r="E10" s="188" t="n">
        <x:f>E12/E11</x:f>
        <x:v>107.55055314285714</x:v>
      </x:c>
      <x:c r="F10" s="189" t="n">
        <x:f>F12/F11</x:f>
        <x:v>99.32803909590716</x:v>
      </x:c>
      <x:c r="G10" s="190" t="n">
        <x:f>$F$10</x:f>
        <x:v>99.32803909590716</x:v>
      </x:c>
      <x:c r="H10" s="190" t="n">
        <x:f>$F$10</x:f>
        <x:v>99.32803909590716</x:v>
      </x:c>
      <x:c r="I10" s="190" t="n">
        <x:f>$F$10</x:f>
        <x:v>99.32803909590716</x:v>
      </x:c>
      <x:c r="J10" s="191" t="n">
        <x:f>$F$10</x:f>
        <x:v>99.32803909590716</x:v>
      </x:c>
    </x:row>
    <x:row r="11">
      <x:c r="A11" s="183" t="str">
        <x:v>Ortalama kiralık m² fiyatı (TL/m²/ay)</x:v>
      </x:c>
      <x:c r="B11" s="192" t="n">
        <x:v>68.2</x:v>
      </x:c>
      <x:c r="C11" s="192" t="n">
        <x:v>145.5</x:v>
      </x:c>
      <x:c r="D11" s="201" t="n">
        <x:f>E11/(1+'Varsayımlar'!B16)</x:f>
        <x:v>225.08038585209005</x:v>
      </x:c>
      <x:c r="E11" s="192" t="n">
        <x:v>280</x:v>
      </x:c>
      <x:c r="F11" s="193" t="n">
        <x:v>327.4</x:v>
      </x:c>
      <x:c r="G11" s="202" t="n">
        <x:f>F11*(1+'Varsayımlar'!$B$8)</x:f>
        <x:v>376.50999999999993</x:v>
      </x:c>
      <x:c r="H11" s="202" t="n">
        <x:f>G11*(1+'Varsayımlar'!$C$8)</x:f>
        <x:v>410.3959</x:v>
      </x:c>
      <x:c r="I11" s="202" t="n">
        <x:f>H11*(1+'Varsayımlar'!$D$8)</x:f>
        <x:v>435.019654</x:v>
      </x:c>
      <x:c r="J11" s="203" t="n">
        <x:f>I11*(1+'Varsayımlar'!$E$8)</x:f>
        <x:v>456.7706367</x:v>
      </x:c>
    </x:row>
    <x:row r="12">
      <x:c r="A12" s="204" t="str">
        <x:v>Ortalama kira fiyatı (TL/ay)</x:v>
      </x:c>
      <x:c r="B12" s="205" t="n">
        <x:f>C12/(1+'Varsayımlar'!C16)</x:f>
        <x:v>7272.146118721462</x:v>
      </x:c>
      <x:c r="C12" s="206" t="n">
        <x:v>15926</x:v>
      </x:c>
      <x:c r="D12" s="253" t="n">
        <x:f>C12*(1+'Varsayımlar'!D16)</x:f>
        <x:v>24207.52</x:v>
      </x:c>
      <x:c r="E12" s="253" t="n">
        <x:f>D12/D11*E11</x:f>
        <x:v>30114.15488</x:v>
      </x:c>
      <x:c r="F12" s="207" t="n">
        <x:v>32520</x:v>
      </x:c>
      <x:c r="G12" s="208" t="n">
        <x:f>G11*G10</x:f>
        <x:v>37398</x:v>
      </x:c>
      <x:c r="H12" s="208" t="n">
        <x:f>H11*H10</x:f>
        <x:v>40763.82</x:v>
      </x:c>
      <x:c r="I12" s="208" t="n">
        <x:f>I11*I10</x:f>
        <x:v>43209.64920000001</x:v>
      </x:c>
      <x:c r="J12" s="209" t="n">
        <x:f>J11*J10</x:f>
        <x:v>45370.13166000001</x:v>
      </x:c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</x:row>
    <x:row r="15">
      <x:c r="A15" s="210" t="str">
        <x:v>Model yardımcısı</x:v>
      </x:c>
      <x:c r="B15" s="211" t="str">
        <x:v>Değer</x:v>
      </x:c>
      <x:c r="C15" s="47"/>
      <x:c r="D15" s="47"/>
      <x:c r="E15" s="47"/>
      <x:c r="F15" s="47"/>
      <x:c r="G15" s="47"/>
      <x:c r="H15" s="47"/>
      <x:c r="I15" s="47"/>
      <x:c r="J15" s="47"/>
    </x:row>
    <x:row r="16">
      <x:c r="A16" s="212" t="str">
        <x:v>Satış adedi 2022–2026 CAGR</x:v>
      </x:c>
      <x:c r="B16" s="213" t="n">
        <x:f>POWER(F5/B5,1/4)-1</x:f>
        <x:v>0.023662140951206112</x:v>
      </x:c>
      <x:c r="C16" s="47"/>
      <x:c r="D16" s="47"/>
      <x:c r="E16" s="47"/>
      <x:c r="F16" s="47"/>
      <x:c r="G16" s="47"/>
      <x:c r="H16" s="47"/>
      <x:c r="I16" s="47"/>
      <x:c r="J16" s="47"/>
    </x:row>
    <x:row r="17">
      <x:c r="A17" s="214" t="str">
        <x:v>Kira proxy 2022–2026 CAGR</x:v>
      </x:c>
      <x:c r="B17" s="215" t="n">
        <x:f>POWER(F9/B9,1/4)-1</x:f>
        <x:v>0.04288549444493839</x:v>
      </x:c>
      <x:c r="C17" s="47"/>
      <x:c r="D17" s="47"/>
      <x:c r="E17" s="47"/>
      <x:c r="F17" s="47"/>
      <x:c r="G17" s="47"/>
      <x:c r="H17" s="47"/>
      <x:c r="I17" s="47"/>
      <x:c r="J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</x:row>
    <x:row r="19">
      <x:c r="A19" s="43" t="str">
        <x:v>Veri dönemi / türü</x:v>
      </x:c>
      <x:c r="B19" s="44" t="str">
        <x:v>2022</x:v>
      </x:c>
      <x:c r="C19" s="44" t="str">
        <x:v>2023</x:v>
      </x:c>
      <x:c r="D19" s="44" t="str">
        <x:v>2024</x:v>
      </x:c>
      <x:c r="E19" s="44" t="str">
        <x:v>2025</x:v>
      </x:c>
      <x:c r="F19" s="44" t="str">
        <x:v>2026E/Son</x:v>
      </x:c>
      <x:c r="G19" s="44" t="str">
        <x:v>2027F</x:v>
      </x:c>
      <x:c r="H19" s="44" t="str">
        <x:v>2028F</x:v>
      </x:c>
      <x:c r="I19" s="44" t="str">
        <x:v>2029F</x:v>
      </x:c>
      <x:c r="J19" s="45" t="str">
        <x:v>2030F</x:v>
      </x:c>
    </x:row>
    <x:row r="20">
      <x:c r="A20" s="46" t="str">
        <x:v>Satış adedi</x:v>
      </x:c>
      <x:c r="B20" s="47" t="str">
        <x:v>TÜİK</x:v>
      </x:c>
      <x:c r="C20" s="47" t="str">
        <x:v>TÜİK</x:v>
      </x:c>
      <x:c r="D20" s="47" t="str">
        <x:v>TÜİK</x:v>
      </x:c>
      <x:c r="E20" s="47" t="str">
        <x:v>TÜİK</x:v>
      </x:c>
      <x:c r="F20" s="47" t="str">
        <x:v>Yıllık tahmin</x:v>
      </x:c>
      <x:c r="G20" s="47" t="str">
        <x:v>Tahmin</x:v>
      </x:c>
      <x:c r="H20" s="47" t="str">
        <x:v>Tahmin</x:v>
      </x:c>
      <x:c r="I20" s="47" t="str">
        <x:v>Tahmin</x:v>
      </x:c>
      <x:c r="J20" s="48" t="str">
        <x:v>Tahmin</x:v>
      </x:c>
    </x:row>
    <x:row r="21">
      <x:c r="A21" s="46" t="str">
        <x:v>Fiyat/kira</x:v>
      </x:c>
      <x:c r="B21" s="47" t="str">
        <x:v>Yıl sonu</x:v>
      </x:c>
      <x:c r="C21" s="47" t="str">
        <x:v>Yıl sonu</x:v>
      </x:c>
      <x:c r="D21" s="47" t="str">
        <x:v>Yıl sonu/türetilmiş</x:v>
      </x:c>
      <x:c r="E21" s="47" t="str">
        <x:v>Yıl sonu</x:v>
      </x:c>
      <x:c r="F21" s="47" t="str">
        <x:v>Temmuz son gözlem</x:v>
      </x:c>
      <x:c r="G21" s="47" t="str">
        <x:v>Tahmin</x:v>
      </x:c>
      <x:c r="H21" s="47" t="str">
        <x:v>Tahmin</x:v>
      </x:c>
      <x:c r="I21" s="47" t="str">
        <x:v>Tahmin</x:v>
      </x:c>
      <x:c r="J21" s="48" t="str">
        <x:v>Tahmin</x:v>
      </x:c>
    </x:row>
    <x:row r="22">
      <x:c r="A22" s="56" t="str">
        <x:v>Kira işlem adedi</x:v>
      </x:c>
      <x:c r="B22" s="58" t="str">
        <x:v>Platform proxy</x:v>
      </x:c>
      <x:c r="C22" s="58" t="str">
        <x:v>Platform proxy</x:v>
      </x:c>
      <x:c r="D22" s="58" t="str">
        <x:v>Model proxy</x:v>
      </x:c>
      <x:c r="E22" s="58" t="str">
        <x:v>Model proxy</x:v>
      </x:c>
      <x:c r="F22" s="58" t="str">
        <x:v>Model proxy</x:v>
      </x:c>
      <x:c r="G22" s="58" t="str">
        <x:v>Tahmin proxy</x:v>
      </x:c>
      <x:c r="H22" s="58" t="str">
        <x:v>Tahmin proxy</x:v>
      </x:c>
      <x:c r="I22" s="58" t="str">
        <x:v>Tahmin proxy</x:v>
      </x:c>
      <x:c r="J22" s="59" t="str">
        <x:v>Tahmin proxy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38" hidden="0" customWidth="1"/>
    <x:col min="4" max="4" width="14" hidden="0" customWidth="1"/>
    <x:col min="5" max="5" width="10" hidden="0" customWidth="1"/>
    <x:col min="6" max="6" width="18" hidden="0" customWidth="1"/>
    <x:col min="7" max="7" width="24" hidden="0" customWidth="1"/>
    <x:col min="8" max="8" width="24" hidden="0" customWidth="1"/>
    <x:col min="9" max="9" width="16" hidden="0" customWidth="1"/>
    <x:col min="10" max="10" width="64" hidden="0" customWidth="1"/>
    <x:col min="11" max="11" width="46" hidden="0" customWidth="1"/>
  </x:cols>
  <x:sheetData>
    <x:row r="1">
      <x:c r="A1" s="43" t="str">
        <x:v>Coğrafya</x:v>
      </x:c>
      <x:c r="B1" s="44" t="str">
        <x:v>Gösterge_ID</x:v>
      </x:c>
      <x:c r="C1" s="44" t="str">
        <x:v>Gösterge</x:v>
      </x:c>
      <x:c r="D1" s="44" t="str">
        <x:v>Birim</x:v>
      </x:c>
      <x:c r="E1" s="44" t="str">
        <x:v>Yıl</x:v>
      </x:c>
      <x:c r="F1" s="44" t="str">
        <x:v>Değer</x:v>
      </x:c>
      <x:c r="G1" s="44" t="str">
        <x:v>Dönem_Türü</x:v>
      </x:c>
      <x:c r="H1" s="44" t="str">
        <x:v>Veri_Türü</x:v>
      </x:c>
      <x:c r="I1" s="44" t="str">
        <x:v>Kaynak_ID</x:v>
      </x:c>
      <x:c r="J1" s="44" t="str">
        <x:v>Kaynak_URL</x:v>
      </x:c>
      <x:c r="K1" s="45" t="str">
        <x:v>Metod_Notu</x:v>
      </x:c>
    </x:row>
    <x:row r="2">
      <x:c r="A2" s="46" t="str">
        <x:v>Türkiye</x:v>
      </x:c>
      <x:c r="B2" s="47" t="n">
        <x:v>1</x:v>
      </x:c>
      <x:c r="C2" s="47" t="str">
        <x:v>Satılan ev sayısı</x:v>
      </x:c>
      <x:c r="D2" s="47" t="str">
        <x:v>adet</x:v>
      </x:c>
      <x:c r="E2" s="47" t="n">
        <x:v>2022</x:v>
      </x:c>
      <x:c r="F2" s="47" t="n">
        <x:v>1485622</x:v>
      </x:c>
      <x:c r="G2" s="47" t="str">
        <x:v>Tam yıl</x:v>
      </x:c>
      <x:c r="H2" s="47" t="str">
        <x:v>Resmî gerçekleşen</x:v>
      </x:c>
      <x:c r="I2" s="47" t="str">
        <x:v>S01</x:v>
      </x:c>
      <x:c r="J2" s="47" t="str">
        <x:v>https://veriportali.tuik.gov.tr/Bulten/Index?dil=1&amp;p=Konut-Satis-Istatistikleri-Aralik-2022-49526</x:v>
      </x:c>
      <x:c r="K2" s="48" t="str"/>
    </x:row>
    <x:row r="3">
      <x:c r="A3" s="46" t="str">
        <x:v>Türkiye</x:v>
      </x:c>
      <x:c r="B3" s="47" t="n">
        <x:v>1</x:v>
      </x:c>
      <x:c r="C3" s="47" t="str">
        <x:v>Satılan ev sayısı</x:v>
      </x:c>
      <x:c r="D3" s="47" t="str">
        <x:v>adet</x:v>
      </x:c>
      <x:c r="E3" s="47" t="n">
        <x:v>2023</x:v>
      </x:c>
      <x:c r="F3" s="47" t="n">
        <x:v>1225926</x:v>
      </x:c>
      <x:c r="G3" s="47" t="str">
        <x:v>Tam yıl</x:v>
      </x:c>
      <x:c r="H3" s="47" t="str">
        <x:v>Resmî gerçekleşen</x:v>
      </x:c>
      <x:c r="I3" s="47" t="str">
        <x:v>S02</x:v>
      </x:c>
      <x:c r="J3" s="47" t="str">
        <x:v>https://veriportali.tuik.gov.tr/tr/press/49516</x:v>
      </x:c>
      <x:c r="K3" s="48" t="str"/>
    </x:row>
    <x:row r="4">
      <x:c r="A4" s="46" t="str">
        <x:v>Türkiye</x:v>
      </x:c>
      <x:c r="B4" s="47" t="n">
        <x:v>1</x:v>
      </x:c>
      <x:c r="C4" s="47" t="str">
        <x:v>Satılan ev sayısı</x:v>
      </x:c>
      <x:c r="D4" s="47" t="str">
        <x:v>adet</x:v>
      </x:c>
      <x:c r="E4" s="47" t="n">
        <x:v>2024</x:v>
      </x:c>
      <x:c r="F4" s="47" t="n">
        <x:v>1478025</x:v>
      </x:c>
      <x:c r="G4" s="47" t="str">
        <x:v>Tam yıl</x:v>
      </x:c>
      <x:c r="H4" s="47" t="str">
        <x:v>Resmî gerçekleşen</x:v>
      </x:c>
      <x:c r="I4" s="47" t="str">
        <x:v>S03</x:v>
      </x:c>
      <x:c r="J4" s="47" t="str">
        <x:v>https://veriportali.tuik.gov.tr/tr/press/54146</x:v>
      </x:c>
      <x:c r="K4" s="48" t="str"/>
    </x:row>
    <x:row r="5">
      <x:c r="A5" s="46" t="str">
        <x:v>Türkiye</x:v>
      </x:c>
      <x:c r="B5" s="47" t="n">
        <x:v>1</x:v>
      </x:c>
      <x:c r="C5" s="47" t="str">
        <x:v>Satılan ev sayısı</x:v>
      </x:c>
      <x:c r="D5" s="47" t="str">
        <x:v>adet</x:v>
      </x:c>
      <x:c r="E5" s="47" t="n">
        <x:v>2025</x:v>
      </x:c>
      <x:c r="F5" s="47" t="n">
        <x:v>1688910</x:v>
      </x:c>
      <x:c r="G5" s="47" t="str">
        <x:v>Tam yıl</x:v>
      </x:c>
      <x:c r="H5" s="47" t="str">
        <x:v>Resmî gerçekleşen</x:v>
      </x:c>
      <x:c r="I5" s="47" t="str">
        <x:v>S04</x:v>
      </x:c>
      <x:c r="J5" s="47" t="str">
        <x:v>https://veriportali.tuik.gov.tr/tr/press/58350</x:v>
      </x:c>
      <x:c r="K5" s="48" t="str"/>
    </x:row>
    <x:row r="6">
      <x:c r="A6" s="46" t="str">
        <x:v>Türkiye</x:v>
      </x:c>
      <x:c r="B6" s="47" t="n">
        <x:v>1</x:v>
      </x:c>
      <x:c r="C6" s="47" t="str">
        <x:v>Satılan ev sayısı</x:v>
      </x:c>
      <x:c r="D6" s="47" t="str">
        <x:v>adet</x:v>
      </x:c>
      <x:c r="E6" s="47" t="n">
        <x:v>2026</x:v>
      </x:c>
      <x:c r="F6" s="47" t="n">
        <x:v>1596493.5629048874</x:v>
      </x:c>
      <x:c r="G6" s="47" t="str">
        <x:v>2026E</x:v>
      </x:c>
      <x:c r="H6" s="47" t="str">
        <x:v>2026E yıllık tahmin</x:v>
      </x:c>
      <x:c r="I6" s="47" t="str">
        <x:v>S04;S05</x:v>
      </x:c>
      <x:c r="J6" s="47" t="str">
        <x:v>https://veriportali.tuik.gov.tr/tr/press/58350 ; https://veriportali.tuik.gov.tr/tr/press/58339</x:v>
      </x:c>
      <x:c r="K6" s="48" t="str"/>
    </x:row>
    <x:row r="7">
      <x:c r="A7" s="46" t="str">
        <x:v>Türkiye</x:v>
      </x:c>
      <x:c r="B7" s="47" t="n">
        <x:v>1</x:v>
      </x:c>
      <x:c r="C7" s="47" t="str">
        <x:v>Satılan ev sayısı</x:v>
      </x:c>
      <x:c r="D7" s="47" t="str">
        <x:v>adet</x:v>
      </x:c>
      <x:c r="E7" s="47" t="n">
        <x:v>2027</x:v>
      </x:c>
      <x:c r="F7" s="47" t="n">
        <x:v>1626952.1923118136</x:v>
      </x:c>
      <x:c r="G7" s="47" t="str">
        <x:v>Tahmin</x:v>
      </x:c>
      <x:c r="H7" s="47" t="str">
        <x:v>Tahmin</x:v>
      </x:c>
      <x:c r="I7" s="47" t="str">
        <x:v>S05;S28;S29</x:v>
      </x:c>
      <x:c r="J7" s="47" t="str">
        <x:v>https://veriportali.tuik.gov.tr/tr/press/58339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7" s="48" t="str">
        <x:v>2022-2026 CAGR ile %2 uzun dönem işlem büyümesi harmanlanmıştır.</x:v>
      </x:c>
    </x:row>
    <x:row r="8">
      <x:c r="A8" s="46" t="str">
        <x:v>Türkiye</x:v>
      </x:c>
      <x:c r="B8" s="47" t="n">
        <x:v>1</x:v>
      </x:c>
      <x:c r="C8" s="47" t="str">
        <x:v>Satılan ev sayısı</x:v>
      </x:c>
      <x:c r="D8" s="47" t="str">
        <x:v>adet</x:v>
      </x:c>
      <x:c r="E8" s="47" t="n">
        <x:v>2028</x:v>
      </x:c>
      <x:c r="F8" s="47" t="n">
        <x:v>1658441.7185479817</x:v>
      </x:c>
      <x:c r="G8" s="47" t="str">
        <x:v>Tahmin</x:v>
      </x:c>
      <x:c r="H8" s="47" t="str">
        <x:v>Tahmin</x:v>
      </x:c>
      <x:c r="I8" s="47" t="str">
        <x:v>S05;S28;S29</x:v>
      </x:c>
      <x:c r="J8" s="47" t="str">
        <x:v>https://veriportali.tuik.gov.tr/tr/press/58339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8" s="48" t="str">
        <x:v>2022-2026 CAGR ile %2 uzun dönem işlem büyümesi harmanlanmıştır.</x:v>
      </x:c>
    </x:row>
    <x:row r="9">
      <x:c r="A9" s="46" t="str">
        <x:v>Türkiye</x:v>
      </x:c>
      <x:c r="B9" s="47" t="n">
        <x:v>1</x:v>
      </x:c>
      <x:c r="C9" s="47" t="str">
        <x:v>Satılan ev sayısı</x:v>
      </x:c>
      <x:c r="D9" s="47" t="str">
        <x:v>adet</x:v>
      </x:c>
      <x:c r="E9" s="47" t="n">
        <x:v>2029</x:v>
      </x:c>
      <x:c r="F9" s="47" t="n">
        <x:v>1690999.2209547542</x:v>
      </x:c>
      <x:c r="G9" s="47" t="str">
        <x:v>Tahmin</x:v>
      </x:c>
      <x:c r="H9" s="47" t="str">
        <x:v>Tahmin</x:v>
      </x:c>
      <x:c r="I9" s="47" t="str">
        <x:v>S05;S28;S29</x:v>
      </x:c>
      <x:c r="J9" s="47" t="str">
        <x:v>https://veriportali.tuik.gov.tr/tr/press/58339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9" s="48" t="str">
        <x:v>2022-2026 CAGR ile %2 uzun dönem işlem büyümesi harmanlanmıştır.</x:v>
      </x:c>
    </x:row>
    <x:row r="10">
      <x:c r="A10" s="46" t="str">
        <x:v>Türkiye</x:v>
      </x:c>
      <x:c r="B10" s="47" t="n">
        <x:v>1</x:v>
      </x:c>
      <x:c r="C10" s="47" t="str">
        <x:v>Satılan ev sayısı</x:v>
      </x:c>
      <x:c r="D10" s="47" t="str">
        <x:v>adet</x:v>
      </x:c>
      <x:c r="E10" s="47" t="n">
        <x:v>2030</x:v>
      </x:c>
      <x:c r="F10" s="47" t="n">
        <x:v>1724819.2053738493</x:v>
      </x:c>
      <x:c r="G10" s="47" t="str">
        <x:v>Tahmin</x:v>
      </x:c>
      <x:c r="H10" s="47" t="str">
        <x:v>Tahmin</x:v>
      </x:c>
      <x:c r="I10" s="47" t="str">
        <x:v>S05;S28;S29</x:v>
      </x:c>
      <x:c r="J10" s="47" t="str">
        <x:v>https://veriportali.tuik.gov.tr/tr/press/58339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0" s="48" t="str">
        <x:v>2022-2026 CAGR ile %2 uzun dönem işlem büyümesi harmanlanmıştır.</x:v>
      </x:c>
    </x:row>
    <x:row r="11">
      <x:c r="A11" s="46" t="str">
        <x:v>Türkiye</x:v>
      </x:c>
      <x:c r="B11" s="47" t="n">
        <x:v>2</x:v>
      </x:c>
      <x:c r="C11" s="47" t="str">
        <x:v>Ortalama satılık konut alanı</x:v>
      </x:c>
      <x:c r="D11" s="47" t="str">
        <x:v>m²</x:v>
      </x:c>
      <x:c r="E11" s="47" t="n">
        <x:v>2022</x:v>
      </x:c>
      <x:c r="F11" s="47" t="n">
        <x:v>130</x:v>
      </x:c>
      <x:c r="G11" s="47" t="str">
        <x:v>Yıl sonu / rapor dönemi</x:v>
      </x:c>
      <x:c r="H11" s="47" t="str">
        <x:v>Türetilmiş</x:v>
      </x:c>
      <x:c r="I11" s="47" t="str">
        <x:v>S06</x:v>
      </x:c>
      <x:c r="J11" s="47" t="str">
        <x:v>https://www.emlakdream.com/turkiyede-ortalama-bir-ev-fiyati-1-8-milyon-tlye-yukseldi/</x:v>
      </x:c>
      <x:c r="K11" s="48" t="str"/>
    </x:row>
    <x:row r="12">
      <x:c r="A12" s="46" t="str">
        <x:v>Türkiye</x:v>
      </x:c>
      <x:c r="B12" s="47" t="n">
        <x:v>2</x:v>
      </x:c>
      <x:c r="C12" s="47" t="str">
        <x:v>Ortalama satılık konut alanı</x:v>
      </x:c>
      <x:c r="D12" s="47" t="str">
        <x:v>m²</x:v>
      </x:c>
      <x:c r="E12" s="47" t="n">
        <x:v>2023</x:v>
      </x:c>
      <x:c r="F12" s="47" t="n">
        <x:v>130</x:v>
      </x:c>
      <x:c r="G12" s="47" t="str">
        <x:v>Yıl sonu / rapor dönemi</x:v>
      </x:c>
      <x:c r="H12" s="47" t="str">
        <x:v>Türetilmiş</x:v>
      </x:c>
      <x:c r="I12" s="47" t="str">
        <x:v>S07</x:v>
      </x:c>
      <x:c r="J12" s="47" t="str">
        <x:v>https://www.gayrimenkulhaber.com/emlak-haberleri/turkiyede-ortalama-konut-fiyati-3-milyon-92-bin-700-tl-oldu/</x:v>
      </x:c>
      <x:c r="K12" s="48" t="str"/>
    </x:row>
    <x:row r="13">
      <x:c r="A13" s="46" t="str">
        <x:v>Türkiye</x:v>
      </x:c>
      <x:c r="B13" s="47" t="n">
        <x:v>2</x:v>
      </x:c>
      <x:c r="C13" s="47" t="str">
        <x:v>Ortalama satılık konut alanı</x:v>
      </x:c>
      <x:c r="D13" s="47" t="str">
        <x:v>m²</x:v>
      </x:c>
      <x:c r="E13" s="47" t="n">
        <x:v>2024</x:v>
      </x:c>
      <x:c r="F13" s="47" t="n">
        <x:v>127.84282061633697</x:v>
      </x:c>
      <x:c r="G13" s="47" t="str">
        <x:v>Yıl sonu / rapor dönemi</x:v>
      </x:c>
      <x:c r="H13" s="47" t="str">
        <x:v>Türetilmiş</x:v>
      </x:c>
      <x:c r="I13" s="47" t="str">
        <x:v>S08</x:v>
      </x:c>
      <x:c r="J13" s="47" t="str">
        <x:v>https://www.gayrimenkulhaber.com/guncel/endeksa-2024-yillik-gayrimenkul-deger-raporu-yayimlandi/</x:v>
      </x:c>
      <x:c r="K13" s="48" t="str"/>
    </x:row>
    <x:row r="14">
      <x:c r="A14" s="46" t="str">
        <x:v>Türkiye</x:v>
      </x:c>
      <x:c r="B14" s="47" t="n">
        <x:v>2</x:v>
      </x:c>
      <x:c r="C14" s="47" t="str">
        <x:v>Ortalama satılık konut alanı</x:v>
      </x:c>
      <x:c r="D14" s="47" t="str">
        <x:v>m²</x:v>
      </x:c>
      <x:c r="E14" s="47" t="n">
        <x:v>2025</x:v>
      </x:c>
      <x:c r="F14" s="47" t="n">
        <x:v>124.33862433862434</x:v>
      </x:c>
      <x:c r="G14" s="47" t="str">
        <x:v>Yıl sonu / rapor dönemi</x:v>
      </x:c>
      <x:c r="H14" s="47" t="str">
        <x:v>Türetilmiş</x:v>
      </x:c>
      <x:c r="I14" s="47" t="str">
        <x:v>S09;S16</x:v>
      </x:c>
      <x:c r="J14" s="47" t="str">
        <x:v>https://www.dunya.com/ekonomik-veriler/endeksa-konut-satis-fiyatlari-aralik-ayinda-yuzde-272-artti-haberi-812021 ; https://www.karar.com/ekonomi-haberleri/konut-satislari-ne-durumda-emlakta-en-cok-kazandiran-il-hangisi-2033220</x:v>
      </x:c>
      <x:c r="K14" s="48" t="str"/>
    </x:row>
    <x:row r="15">
      <x:c r="A15" s="46" t="str">
        <x:v>Türkiye</x:v>
      </x:c>
      <x:c r="B15" s="47" t="n">
        <x:v>2</x:v>
      </x:c>
      <x:c r="C15" s="47" t="str">
        <x:v>Ortalama satılık konut alanı</x:v>
      </x:c>
      <x:c r="D15" s="47" t="str">
        <x:v>m²</x:v>
      </x:c>
      <x:c r="E15" s="47" t="n">
        <x:v>2026</x:v>
      </x:c>
      <x:c r="F15" s="47" t="n">
        <x:v>125</x:v>
      </x:c>
      <x:c r="G15" s="47" t="str">
        <x:v>Temmuz 2026 son gözlem</x:v>
      </x:c>
      <x:c r="H15" s="47" t="str">
        <x:v>Türetilmiş</x:v>
      </x:c>
      <x:c r="I15" s="47" t="str">
        <x:v>S10</x:v>
      </x:c>
      <x:c r="J15" s="47" t="str">
        <x:v>https://www.emlakjet.com/emlak-piyasasi/satilik-konut</x:v>
      </x:c>
      <x:c r="K15" s="48" t="str"/>
    </x:row>
    <x:row r="16">
      <x:c r="A16" s="46" t="str">
        <x:v>Türkiye</x:v>
      </x:c>
      <x:c r="B16" s="47" t="n">
        <x:v>2</x:v>
      </x:c>
      <x:c r="C16" s="47" t="str">
        <x:v>Ortalama satılık konut alanı</x:v>
      </x:c>
      <x:c r="D16" s="47" t="str">
        <x:v>m²</x:v>
      </x:c>
      <x:c r="E16" s="47" t="n">
        <x:v>2027</x:v>
      </x:c>
      <x:c r="F16" s="47" t="n">
        <x:v>125</x:v>
      </x:c>
      <x:c r="G16" s="47" t="str">
        <x:v>Tahmin</x:v>
      </x:c>
      <x:c r="H16" s="47" t="str">
        <x:v>Tahmin</x:v>
      </x:c>
      <x:c r="I16" s="47" t="str">
        <x:v>S10;S28;S29</x:v>
      </x:c>
      <x:c r="J16" s="47" t="str">
        <x:v>https://www.emlakjet.com/emlak-piyasasi/satilik-konut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6" s="48" t="str">
        <x:v>2026 alanı sabit tutulmuştur.</x:v>
      </x:c>
    </x:row>
    <x:row r="17">
      <x:c r="A17" s="46" t="str">
        <x:v>Türkiye</x:v>
      </x:c>
      <x:c r="B17" s="47" t="n">
        <x:v>2</x:v>
      </x:c>
      <x:c r="C17" s="47" t="str">
        <x:v>Ortalama satılık konut alanı</x:v>
      </x:c>
      <x:c r="D17" s="47" t="str">
        <x:v>m²</x:v>
      </x:c>
      <x:c r="E17" s="47" t="n">
        <x:v>2028</x:v>
      </x:c>
      <x:c r="F17" s="47" t="n">
        <x:v>125</x:v>
      </x:c>
      <x:c r="G17" s="47" t="str">
        <x:v>Tahmin</x:v>
      </x:c>
      <x:c r="H17" s="47" t="str">
        <x:v>Tahmin</x:v>
      </x:c>
      <x:c r="I17" s="47" t="str">
        <x:v>S10;S28;S29</x:v>
      </x:c>
      <x:c r="J17" s="47" t="str">
        <x:v>https://www.emlakjet.com/emlak-piyasasi/satilik-konut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7" s="48" t="str">
        <x:v>2026 alanı sabit tutulmuştur.</x:v>
      </x:c>
    </x:row>
    <x:row r="18">
      <x:c r="A18" s="46" t="str">
        <x:v>Türkiye</x:v>
      </x:c>
      <x:c r="B18" s="47" t="n">
        <x:v>2</x:v>
      </x:c>
      <x:c r="C18" s="47" t="str">
        <x:v>Ortalama satılık konut alanı</x:v>
      </x:c>
      <x:c r="D18" s="47" t="str">
        <x:v>m²</x:v>
      </x:c>
      <x:c r="E18" s="47" t="n">
        <x:v>2029</x:v>
      </x:c>
      <x:c r="F18" s="47" t="n">
        <x:v>125</x:v>
      </x:c>
      <x:c r="G18" s="47" t="str">
        <x:v>Tahmin</x:v>
      </x:c>
      <x:c r="H18" s="47" t="str">
        <x:v>Tahmin</x:v>
      </x:c>
      <x:c r="I18" s="47" t="str">
        <x:v>S10;S28;S29</x:v>
      </x:c>
      <x:c r="J18" s="47" t="str">
        <x:v>https://www.emlakjet.com/emlak-piyasasi/satilik-konut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8" s="48" t="str">
        <x:v>2026 alanı sabit tutulmuştur.</x:v>
      </x:c>
    </x:row>
    <x:row r="19">
      <x:c r="A19" s="46" t="str">
        <x:v>Türkiye</x:v>
      </x:c>
      <x:c r="B19" s="47" t="n">
        <x:v>2</x:v>
      </x:c>
      <x:c r="C19" s="47" t="str">
        <x:v>Ortalama satılık konut alanı</x:v>
      </x:c>
      <x:c r="D19" s="47" t="str">
        <x:v>m²</x:v>
      </x:c>
      <x:c r="E19" s="47" t="n">
        <x:v>2030</x:v>
      </x:c>
      <x:c r="F19" s="47" t="n">
        <x:v>125</x:v>
      </x:c>
      <x:c r="G19" s="47" t="str">
        <x:v>Tahmin</x:v>
      </x:c>
      <x:c r="H19" s="47" t="str">
        <x:v>Tahmin</x:v>
      </x:c>
      <x:c r="I19" s="47" t="str">
        <x:v>S10;S28;S29</x:v>
      </x:c>
      <x:c r="J19" s="47" t="str">
        <x:v>https://www.emlakjet.com/emlak-piyasasi/satilik-konut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9" s="48" t="str">
        <x:v>2026 alanı sabit tutulmuştur.</x:v>
      </x:c>
    </x:row>
    <x:row r="20">
      <x:c r="A20" s="46" t="str">
        <x:v>Türkiye</x:v>
      </x:c>
      <x:c r="B20" s="47" t="n">
        <x:v>3</x:v>
      </x:c>
      <x:c r="C20" s="47" t="str">
        <x:v>Ortalama satılık m² fiyatı</x:v>
      </x:c>
      <x:c r="D20" s="47" t="str">
        <x:v>TL/m²</x:v>
      </x:c>
      <x:c r="E20" s="47" t="n">
        <x:v>2022</x:v>
      </x:c>
      <x:c r="F20" s="47" t="n">
        <x:v>13824</x:v>
      </x:c>
      <x:c r="G20" s="47" t="str">
        <x:v>Yıl sonu / rapor dönemi</x:v>
      </x:c>
      <x:c r="H20" s="47" t="str">
        <x:v>Piyasa verisi</x:v>
      </x:c>
      <x:c r="I20" s="47" t="str">
        <x:v>S06</x:v>
      </x:c>
      <x:c r="J20" s="47" t="str">
        <x:v>https://www.emlakdream.com/turkiyede-ortalama-bir-ev-fiyati-1-8-milyon-tlye-yukseldi/</x:v>
      </x:c>
      <x:c r="K20" s="48" t="str"/>
    </x:row>
    <x:row r="21">
      <x:c r="A21" s="46" t="str">
        <x:v>Türkiye</x:v>
      </x:c>
      <x:c r="B21" s="47" t="n">
        <x:v>3</x:v>
      </x:c>
      <x:c r="C21" s="47" t="str">
        <x:v>Ortalama satılık m² fiyatı</x:v>
      </x:c>
      <x:c r="D21" s="47" t="str">
        <x:v>TL/m²</x:v>
      </x:c>
      <x:c r="E21" s="47" t="n">
        <x:v>2023</x:v>
      </x:c>
      <x:c r="F21" s="47" t="n">
        <x:v>23790</x:v>
      </x:c>
      <x:c r="G21" s="47" t="str">
        <x:v>Yıl sonu / rapor dönemi</x:v>
      </x:c>
      <x:c r="H21" s="47" t="str">
        <x:v>Piyasa verisi</x:v>
      </x:c>
      <x:c r="I21" s="47" t="str">
        <x:v>S07</x:v>
      </x:c>
      <x:c r="J21" s="47" t="str">
        <x:v>https://www.gayrimenkulhaber.com/emlak-haberleri/turkiyede-ortalama-konut-fiyati-3-milyon-92-bin-700-tl-oldu/</x:v>
      </x:c>
      <x:c r="K21" s="48" t="str"/>
    </x:row>
    <x:row r="22">
      <x:c r="A22" s="46" t="str">
        <x:v>Türkiye</x:v>
      </x:c>
      <x:c r="B22" s="47" t="n">
        <x:v>3</x:v>
      </x:c>
      <x:c r="C22" s="47" t="str">
        <x:v>Ortalama satılık m² fiyatı</x:v>
      </x:c>
      <x:c r="D22" s="47" t="str">
        <x:v>TL/m²</x:v>
      </x:c>
      <x:c r="E22" s="47" t="n">
        <x:v>2024</x:v>
      </x:c>
      <x:c r="F22" s="47" t="n">
        <x:v>29724</x:v>
      </x:c>
      <x:c r="G22" s="47" t="str">
        <x:v>Yıl sonu / rapor dönemi</x:v>
      </x:c>
      <x:c r="H22" s="47" t="str">
        <x:v>Piyasa verisi</x:v>
      </x:c>
      <x:c r="I22" s="47" t="str">
        <x:v>S08</x:v>
      </x:c>
      <x:c r="J22" s="47" t="str">
        <x:v>https://www.gayrimenkulhaber.com/guncel/endeksa-2024-yillik-gayrimenkul-deger-raporu-yayimlandi/</x:v>
      </x:c>
      <x:c r="K22" s="48" t="str"/>
    </x:row>
    <x:row r="23">
      <x:c r="A23" s="46" t="str">
        <x:v>Türkiye</x:v>
      </x:c>
      <x:c r="B23" s="47" t="n">
        <x:v>3</x:v>
      </x:c>
      <x:c r="C23" s="47" t="str">
        <x:v>Ortalama satılık m² fiyatı</x:v>
      </x:c>
      <x:c r="D23" s="47" t="str">
        <x:v>TL/m²</x:v>
      </x:c>
      <x:c r="E23" s="47" t="n">
        <x:v>2025</x:v>
      </x:c>
      <x:c r="F23" s="47" t="n">
        <x:v>37800</x:v>
      </x:c>
      <x:c r="G23" s="47" t="str">
        <x:v>Yıl sonu / rapor dönemi</x:v>
      </x:c>
      <x:c r="H23" s="47" t="str">
        <x:v>Piyasa verisi</x:v>
      </x:c>
      <x:c r="I23" s="47" t="str">
        <x:v>S09;S16</x:v>
      </x:c>
      <x:c r="J23" s="47" t="str">
        <x:v>https://www.dunya.com/ekonomik-veriler/endeksa-konut-satis-fiyatlari-aralik-ayinda-yuzde-272-artti-haberi-812021 ; https://www.karar.com/ekonomi-haberleri/konut-satislari-ne-durumda-emlakta-en-cok-kazandiran-il-hangisi-2033220</x:v>
      </x:c>
      <x:c r="K23" s="48" t="str"/>
    </x:row>
    <x:row r="24">
      <x:c r="A24" s="46" t="str">
        <x:v>Türkiye</x:v>
      </x:c>
      <x:c r="B24" s="47" t="n">
        <x:v>3</x:v>
      </x:c>
      <x:c r="C24" s="47" t="str">
        <x:v>Ortalama satılık m² fiyatı</x:v>
      </x:c>
      <x:c r="D24" s="47" t="str">
        <x:v>TL/m²</x:v>
      </x:c>
      <x:c r="E24" s="47" t="n">
        <x:v>2026</x:v>
      </x:c>
      <x:c r="F24" s="47" t="n">
        <x:v>41703</x:v>
      </x:c>
      <x:c r="G24" s="47" t="str">
        <x:v>Temmuz 2026 son gözlem</x:v>
      </x:c>
      <x:c r="H24" s="47" t="str">
        <x:v>Son piyasa gözlemi</x:v>
      </x:c>
      <x:c r="I24" s="47" t="str">
        <x:v>S10</x:v>
      </x:c>
      <x:c r="J24" s="47" t="str">
        <x:v>https://www.emlakjet.com/emlak-piyasasi/satilik-konut</x:v>
      </x:c>
      <x:c r="K24" s="48" t="str"/>
    </x:row>
    <x:row r="25">
      <x:c r="A25" s="46" t="str">
        <x:v>Türkiye</x:v>
      </x:c>
      <x:c r="B25" s="47" t="n">
        <x:v>3</x:v>
      </x:c>
      <x:c r="C25" s="47" t="str">
        <x:v>Ortalama satılık m² fiyatı</x:v>
      </x:c>
      <x:c r="D25" s="47" t="str">
        <x:v>TL/m²</x:v>
      </x:c>
      <x:c r="E25" s="47" t="n">
        <x:v>2027</x:v>
      </x:c>
      <x:c r="F25" s="47" t="n">
        <x:v>47958.45</x:v>
      </x:c>
      <x:c r="G25" s="47" t="str">
        <x:v>Tahmin</x:v>
      </x:c>
      <x:c r="H25" s="47" t="str">
        <x:v>Tahmin</x:v>
      </x:c>
      <x:c r="I25" s="47" t="str">
        <x:v>S10;S28;S29</x:v>
      </x:c>
      <x:c r="J25" s="47" t="str">
        <x:v>https://www.emlakjet.com/emlak-piyasasi/satilik-konut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5" s="48" t="str">
        <x:v>Nominal fiyat patikası: 2027 %15, 2028 %9, 2029 %6, 2030 %5.</x:v>
      </x:c>
    </x:row>
    <x:row r="26">
      <x:c r="A26" s="46" t="str">
        <x:v>Türkiye</x:v>
      </x:c>
      <x:c r="B26" s="47" t="n">
        <x:v>3</x:v>
      </x:c>
      <x:c r="C26" s="47" t="str">
        <x:v>Ortalama satılık m² fiyatı</x:v>
      </x:c>
      <x:c r="D26" s="47" t="str">
        <x:v>TL/m²</x:v>
      </x:c>
      <x:c r="E26" s="47" t="n">
        <x:v>2028</x:v>
      </x:c>
      <x:c r="F26" s="47" t="n">
        <x:v>52274.7105</x:v>
      </x:c>
      <x:c r="G26" s="47" t="str">
        <x:v>Tahmin</x:v>
      </x:c>
      <x:c r="H26" s="47" t="str">
        <x:v>Tahmin</x:v>
      </x:c>
      <x:c r="I26" s="47" t="str">
        <x:v>S10;S28;S29</x:v>
      </x:c>
      <x:c r="J26" s="47" t="str">
        <x:v>https://www.emlakjet.com/emlak-piyasasi/satilik-konut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6" s="48" t="str">
        <x:v>Nominal fiyat patikası: 2027 %15, 2028 %9, 2029 %6, 2030 %5.</x:v>
      </x:c>
    </x:row>
    <x:row r="27">
      <x:c r="A27" s="46" t="str">
        <x:v>Türkiye</x:v>
      </x:c>
      <x:c r="B27" s="47" t="n">
        <x:v>3</x:v>
      </x:c>
      <x:c r="C27" s="47" t="str">
        <x:v>Ortalama satılık m² fiyatı</x:v>
      </x:c>
      <x:c r="D27" s="47" t="str">
        <x:v>TL/m²</x:v>
      </x:c>
      <x:c r="E27" s="47" t="n">
        <x:v>2029</x:v>
      </x:c>
      <x:c r="F27" s="47" t="n">
        <x:v>55411.19313000001</x:v>
      </x:c>
      <x:c r="G27" s="47" t="str">
        <x:v>Tahmin</x:v>
      </x:c>
      <x:c r="H27" s="47" t="str">
        <x:v>Tahmin</x:v>
      </x:c>
      <x:c r="I27" s="47" t="str">
        <x:v>S10;S28;S29</x:v>
      </x:c>
      <x:c r="J27" s="47" t="str">
        <x:v>https://www.emlakjet.com/emlak-piyasasi/satilik-konut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7" s="48" t="str">
        <x:v>Nominal fiyat patikası: 2027 %15, 2028 %9, 2029 %6, 2030 %5.</x:v>
      </x:c>
    </x:row>
    <x:row r="28">
      <x:c r="A28" s="46" t="str">
        <x:v>Türkiye</x:v>
      </x:c>
      <x:c r="B28" s="47" t="n">
        <x:v>3</x:v>
      </x:c>
      <x:c r="C28" s="47" t="str">
        <x:v>Ortalama satılık m² fiyatı</x:v>
      </x:c>
      <x:c r="D28" s="47" t="str">
        <x:v>TL/m²</x:v>
      </x:c>
      <x:c r="E28" s="47" t="n">
        <x:v>2030</x:v>
      </x:c>
      <x:c r="F28" s="47" t="n">
        <x:v>58181.75278650001</x:v>
      </x:c>
      <x:c r="G28" s="47" t="str">
        <x:v>Tahmin</x:v>
      </x:c>
      <x:c r="H28" s="47" t="str">
        <x:v>Tahmin</x:v>
      </x:c>
      <x:c r="I28" s="47" t="str">
        <x:v>S10;S28;S29</x:v>
      </x:c>
      <x:c r="J28" s="47" t="str">
        <x:v>https://www.emlakjet.com/emlak-piyasasi/satilik-konut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8" s="48" t="str">
        <x:v>Nominal fiyat patikası: 2027 %15, 2028 %9, 2029 %6, 2030 %5.</x:v>
      </x:c>
    </x:row>
    <x:row r="29">
      <x:c r="A29" s="46" t="str">
        <x:v>Türkiye</x:v>
      </x:c>
      <x:c r="B29" s="47" t="n">
        <x:v>4</x:v>
      </x:c>
      <x:c r="C29" s="47" t="str">
        <x:v>Ortalama ev fiyatı</x:v>
      </x:c>
      <x:c r="D29" s="47" t="str">
        <x:v>TL</x:v>
      </x:c>
      <x:c r="E29" s="47" t="n">
        <x:v>2022</x:v>
      </x:c>
      <x:c r="F29" s="47" t="n">
        <x:v>1797120</x:v>
      </x:c>
      <x:c r="G29" s="47" t="str">
        <x:v>Yıl sonu / rapor dönemi</x:v>
      </x:c>
      <x:c r="H29" s="47" t="str">
        <x:v>Piyasa verisi</x:v>
      </x:c>
      <x:c r="I29" s="47" t="str">
        <x:v>S06</x:v>
      </x:c>
      <x:c r="J29" s="47" t="str">
        <x:v>https://www.emlakdream.com/turkiyede-ortalama-bir-ev-fiyati-1-8-milyon-tlye-yukseldi/</x:v>
      </x:c>
      <x:c r="K29" s="48" t="str"/>
    </x:row>
    <x:row r="30">
      <x:c r="A30" s="46" t="str">
        <x:v>Türkiye</x:v>
      </x:c>
      <x:c r="B30" s="47" t="n">
        <x:v>4</x:v>
      </x:c>
      <x:c r="C30" s="47" t="str">
        <x:v>Ortalama ev fiyatı</x:v>
      </x:c>
      <x:c r="D30" s="47" t="str">
        <x:v>TL</x:v>
      </x:c>
      <x:c r="E30" s="47" t="n">
        <x:v>2023</x:v>
      </x:c>
      <x:c r="F30" s="47" t="n">
        <x:v>3092700</x:v>
      </x:c>
      <x:c r="G30" s="47" t="str">
        <x:v>Yıl sonu / rapor dönemi</x:v>
      </x:c>
      <x:c r="H30" s="47" t="str">
        <x:v>Piyasa verisi</x:v>
      </x:c>
      <x:c r="I30" s="47" t="str">
        <x:v>S07</x:v>
      </x:c>
      <x:c r="J30" s="47" t="str">
        <x:v>https://www.gayrimenkulhaber.com/emlak-haberleri/turkiyede-ortalama-konut-fiyati-3-milyon-92-bin-700-tl-oldu/</x:v>
      </x:c>
      <x:c r="K30" s="48" t="str"/>
    </x:row>
    <x:row r="31">
      <x:c r="A31" s="46" t="str">
        <x:v>Türkiye</x:v>
      </x:c>
      <x:c r="B31" s="47" t="n">
        <x:v>4</x:v>
      </x:c>
      <x:c r="C31" s="47" t="str">
        <x:v>Ortalama ev fiyatı</x:v>
      </x:c>
      <x:c r="D31" s="47" t="str">
        <x:v>TL</x:v>
      </x:c>
      <x:c r="E31" s="47" t="n">
        <x:v>2024</x:v>
      </x:c>
      <x:c r="F31" s="47" t="n">
        <x:v>3800000</x:v>
      </x:c>
      <x:c r="G31" s="47" t="str">
        <x:v>Yıl sonu / rapor dönemi</x:v>
      </x:c>
      <x:c r="H31" s="47" t="str">
        <x:v>Piyasa verisi</x:v>
      </x:c>
      <x:c r="I31" s="47" t="str">
        <x:v>S08</x:v>
      </x:c>
      <x:c r="J31" s="47" t="str">
        <x:v>https://www.gayrimenkulhaber.com/guncel/endeksa-2024-yillik-gayrimenkul-deger-raporu-yayimlandi/</x:v>
      </x:c>
      <x:c r="K31" s="48" t="str"/>
    </x:row>
    <x:row r="32">
      <x:c r="A32" s="46" t="str">
        <x:v>Türkiye</x:v>
      </x:c>
      <x:c r="B32" s="47" t="n">
        <x:v>4</x:v>
      </x:c>
      <x:c r="C32" s="47" t="str">
        <x:v>Ortalama ev fiyatı</x:v>
      </x:c>
      <x:c r="D32" s="47" t="str">
        <x:v>TL</x:v>
      </x:c>
      <x:c r="E32" s="47" t="n">
        <x:v>2025</x:v>
      </x:c>
      <x:c r="F32" s="47" t="n">
        <x:v>4700000</x:v>
      </x:c>
      <x:c r="G32" s="47" t="str">
        <x:v>Yıl sonu / rapor dönemi</x:v>
      </x:c>
      <x:c r="H32" s="47" t="str">
        <x:v>Piyasa verisi</x:v>
      </x:c>
      <x:c r="I32" s="47" t="str">
        <x:v>S09;S16</x:v>
      </x:c>
      <x:c r="J32" s="47" t="str">
        <x:v>https://www.dunya.com/ekonomik-veriler/endeksa-konut-satis-fiyatlari-aralik-ayinda-yuzde-272-artti-haberi-812021 ; https://www.karar.com/ekonomi-haberleri/konut-satislari-ne-durumda-emlakta-en-cok-kazandiran-il-hangisi-2033220</x:v>
      </x:c>
      <x:c r="K32" s="48" t="str"/>
    </x:row>
    <x:row r="33">
      <x:c r="A33" s="46" t="str">
        <x:v>Türkiye</x:v>
      </x:c>
      <x:c r="B33" s="47" t="n">
        <x:v>4</x:v>
      </x:c>
      <x:c r="C33" s="47" t="str">
        <x:v>Ortalama ev fiyatı</x:v>
      </x:c>
      <x:c r="D33" s="47" t="str">
        <x:v>TL</x:v>
      </x:c>
      <x:c r="E33" s="47" t="n">
        <x:v>2026</x:v>
      </x:c>
      <x:c r="F33" s="47" t="n">
        <x:v>5212875</x:v>
      </x:c>
      <x:c r="G33" s="47" t="str">
        <x:v>Temmuz 2026 son gözlem</x:v>
      </x:c>
      <x:c r="H33" s="47" t="str">
        <x:v>Son piyasa gözlemi</x:v>
      </x:c>
      <x:c r="I33" s="47" t="str">
        <x:v>S10</x:v>
      </x:c>
      <x:c r="J33" s="47" t="str">
        <x:v>https://www.emlakjet.com/emlak-piyasasi/satilik-konut</x:v>
      </x:c>
      <x:c r="K33" s="48" t="str"/>
    </x:row>
    <x:row r="34">
      <x:c r="A34" s="46" t="str">
        <x:v>Türkiye</x:v>
      </x:c>
      <x:c r="B34" s="47" t="n">
        <x:v>4</x:v>
      </x:c>
      <x:c r="C34" s="47" t="str">
        <x:v>Ortalama ev fiyatı</x:v>
      </x:c>
      <x:c r="D34" s="47" t="str">
        <x:v>TL</x:v>
      </x:c>
      <x:c r="E34" s="47" t="n">
        <x:v>2027</x:v>
      </x:c>
      <x:c r="F34" s="47" t="n">
        <x:v>5994806.25</x:v>
      </x:c>
      <x:c r="G34" s="47" t="str">
        <x:v>Tahmin</x:v>
      </x:c>
      <x:c r="H34" s="47" t="str">
        <x:v>Tahmin</x:v>
      </x:c>
      <x:c r="I34" s="47" t="str">
        <x:v>S10;S28;S29</x:v>
      </x:c>
      <x:c r="J34" s="47" t="str">
        <x:v>https://www.emlakjet.com/emlak-piyasasi/satilik-konut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34" s="48" t="str"/>
    </x:row>
    <x:row r="35">
      <x:c r="A35" s="46" t="str">
        <x:v>Türkiye</x:v>
      </x:c>
      <x:c r="B35" s="47" t="n">
        <x:v>4</x:v>
      </x:c>
      <x:c r="C35" s="47" t="str">
        <x:v>Ortalama ev fiyatı</x:v>
      </x:c>
      <x:c r="D35" s="47" t="str">
        <x:v>TL</x:v>
      </x:c>
      <x:c r="E35" s="47" t="n">
        <x:v>2028</x:v>
      </x:c>
      <x:c r="F35" s="47" t="n">
        <x:v>6534338.8125</x:v>
      </x:c>
      <x:c r="G35" s="47" t="str">
        <x:v>Tahmin</x:v>
      </x:c>
      <x:c r="H35" s="47" t="str">
        <x:v>Tahmin</x:v>
      </x:c>
      <x:c r="I35" s="47" t="str">
        <x:v>S10;S28;S29</x:v>
      </x:c>
      <x:c r="J35" s="47" t="str">
        <x:v>https://www.emlakjet.com/emlak-piyasasi/satilik-konut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35" s="48" t="str"/>
    </x:row>
    <x:row r="36">
      <x:c r="A36" s="46" t="str">
        <x:v>Türkiye</x:v>
      </x:c>
      <x:c r="B36" s="47" t="n">
        <x:v>4</x:v>
      </x:c>
      <x:c r="C36" s="47" t="str">
        <x:v>Ortalama ev fiyatı</x:v>
      </x:c>
      <x:c r="D36" s="47" t="str">
        <x:v>TL</x:v>
      </x:c>
      <x:c r="E36" s="47" t="n">
        <x:v>2029</x:v>
      </x:c>
      <x:c r="F36" s="47" t="n">
        <x:v>6926399.141250001</x:v>
      </x:c>
      <x:c r="G36" s="47" t="str">
        <x:v>Tahmin</x:v>
      </x:c>
      <x:c r="H36" s="47" t="str">
        <x:v>Tahmin</x:v>
      </x:c>
      <x:c r="I36" s="47" t="str">
        <x:v>S10;S28;S29</x:v>
      </x:c>
      <x:c r="J36" s="47" t="str">
        <x:v>https://www.emlakjet.com/emlak-piyasasi/satilik-konut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36" s="48" t="str"/>
    </x:row>
    <x:row r="37">
      <x:c r="A37" s="46" t="str">
        <x:v>Türkiye</x:v>
      </x:c>
      <x:c r="B37" s="47" t="n">
        <x:v>4</x:v>
      </x:c>
      <x:c r="C37" s="47" t="str">
        <x:v>Ortalama ev fiyatı</x:v>
      </x:c>
      <x:c r="D37" s="47" t="str">
        <x:v>TL</x:v>
      </x:c>
      <x:c r="E37" s="47" t="n">
        <x:v>2030</x:v>
      </x:c>
      <x:c r="F37" s="47" t="n">
        <x:v>7272719.098312501</x:v>
      </x:c>
      <x:c r="G37" s="47" t="str">
        <x:v>Tahmin</x:v>
      </x:c>
      <x:c r="H37" s="47" t="str">
        <x:v>Tahmin</x:v>
      </x:c>
      <x:c r="I37" s="47" t="str">
        <x:v>S10;S28;S29</x:v>
      </x:c>
      <x:c r="J37" s="47" t="str">
        <x:v>https://www.emlakjet.com/emlak-piyasasi/satilik-konut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37" s="48" t="str"/>
    </x:row>
    <x:row r="38">
      <x:c r="A38" s="46" t="str">
        <x:v>Türkiye</x:v>
      </x:c>
      <x:c r="B38" s="47" t="n">
        <x:v>5</x:v>
      </x:c>
      <x:c r="C38" s="47" t="str">
        <x:v>Kiralanan ev sayısı (platform proxy)</x:v>
      </x:c>
      <x:c r="D38" s="47" t="str">
        <x:v>adet/yıl</x:v>
      </x:c>
      <x:c r="E38" s="47" t="n">
        <x:v>2022</x:v>
      </x:c>
      <x:c r="F38" s="47" t="n">
        <x:v>451812</x:v>
      </x:c>
      <x:c r="G38" s="47" t="str">
        <x:v>Tam yıl</x:v>
      </x:c>
      <x:c r="H38" s="47" t="str">
        <x:v>Platform proxy / yıllıklandırılmış</x:v>
      </x:c>
      <x:c r="I38" s="47" t="str">
        <x:v>S25</x:v>
      </x:c>
      <x:c r="J38" s="47" t="str">
        <x:v>https://www.bloomberght.com/kira-artis-hizi-yukseldi-kiralanan-konut-azaldi-2323711</x:v>
      </x:c>
      <x:c r="K38" s="48" t="str">
        <x:v>Resmî kira sözleşmesi adedi değildir; sahibindex/BETAM platform göstergesi yıllık proxy.</x:v>
      </x:c>
    </x:row>
    <x:row r="39">
      <x:c r="A39" s="46" t="str">
        <x:v>Türkiye</x:v>
      </x:c>
      <x:c r="B39" s="47" t="n">
        <x:v>5</x:v>
      </x:c>
      <x:c r="C39" s="47" t="str">
        <x:v>Kiralanan ev sayısı (platform proxy)</x:v>
      </x:c>
      <x:c r="D39" s="47" t="str">
        <x:v>adet/yıl</x:v>
      </x:c>
      <x:c r="E39" s="47" t="n">
        <x:v>2023</x:v>
      </x:c>
      <x:c r="F39" s="47" t="n">
        <x:v>484260</x:v>
      </x:c>
      <x:c r="G39" s="47" t="str">
        <x:v>Tam yıl</x:v>
      </x:c>
      <x:c r="H39" s="47" t="str">
        <x:v>Platform proxy / yıllıklandırılmış</x:v>
      </x:c>
      <x:c r="I39" s="47" t="str">
        <x:v>S27</x:v>
      </x:c>
      <x:c r="J39" s="47" t="str">
        <x:v>https://image5.sahibinden.com/staticContent/969bb478/2309/451b/af82/d321e8a0a74d/1706003743.pdf</x:v>
      </x:c>
      <x:c r="K39" s="48" t="str">
        <x:v>Resmî kira sözleşmesi adedi değildir; sahibindex/BETAM platform göstergesi yıllık proxy.</x:v>
      </x:c>
    </x:row>
    <x:row r="40">
      <x:c r="A40" s="46" t="str">
        <x:v>Türkiye</x:v>
      </x:c>
      <x:c r="B40" s="47" t="n">
        <x:v>5</x:v>
      </x:c>
      <x:c r="C40" s="47" t="str">
        <x:v>Kiralanan ev sayısı (platform proxy)</x:v>
      </x:c>
      <x:c r="D40" s="47" t="str">
        <x:v>adet/yıl</x:v>
      </x:c>
      <x:c r="E40" s="47" t="n">
        <x:v>2024</x:v>
      </x:c>
      <x:c r="F40" s="47" t="n">
        <x:v>508473</x:v>
      </x:c>
      <x:c r="G40" s="47" t="str">
        <x:v>Tam yıl</x:v>
      </x:c>
      <x:c r="H40" s="47" t="str">
        <x:v>Model/Proxy</x:v>
      </x:c>
      <x:c r="I40" s="47" t="str">
        <x:v>S27;Model</x:v>
      </x:c>
      <x:c r="J40" s="47" t="str">
        <x:v>https://image5.sahibinden.com/staticContent/969bb478/2309/451b/af82/d321e8a0a74d/1706003743.pdf</x:v>
      </x:c>
      <x:c r="K40" s="48" t="str">
        <x:v>Resmî kira sözleşmesi adedi değildir; sahibindex/BETAM platform göstergesi yıllık proxy.</x:v>
      </x:c>
    </x:row>
    <x:row r="41">
      <x:c r="A41" s="46" t="str">
        <x:v>Türkiye</x:v>
      </x:c>
      <x:c r="B41" s="47" t="n">
        <x:v>5</x:v>
      </x:c>
      <x:c r="C41" s="47" t="str">
        <x:v>Kiralanan ev sayısı (platform proxy)</x:v>
      </x:c>
      <x:c r="D41" s="47" t="str">
        <x:v>adet/yıl</x:v>
      </x:c>
      <x:c r="E41" s="47" t="n">
        <x:v>2025</x:v>
      </x:c>
      <x:c r="F41" s="47" t="n">
        <x:v>528811.92</x:v>
      </x:c>
      <x:c r="G41" s="47" t="str">
        <x:v>Tam yıl</x:v>
      </x:c>
      <x:c r="H41" s="47" t="str">
        <x:v>Model/Proxy</x:v>
      </x:c>
      <x:c r="I41" s="47" t="str">
        <x:v>S27;Model</x:v>
      </x:c>
      <x:c r="J41" s="47" t="str">
        <x:v>https://image5.sahibinden.com/staticContent/969bb478/2309/451b/af82/d321e8a0a74d/1706003743.pdf</x:v>
      </x:c>
      <x:c r="K41" s="48" t="str">
        <x:v>Resmî kira sözleşmesi adedi değildir; sahibindex/BETAM platform göstergesi yıllık proxy.</x:v>
      </x:c>
    </x:row>
    <x:row r="42">
      <x:c r="A42" s="46" t="str">
        <x:v>Türkiye</x:v>
      </x:c>
      <x:c r="B42" s="47" t="n">
        <x:v>5</x:v>
      </x:c>
      <x:c r="C42" s="47" t="str">
        <x:v>Kiralanan ev sayısı (platform proxy)</x:v>
      </x:c>
      <x:c r="D42" s="47" t="str">
        <x:v>adet/yıl</x:v>
      </x:c>
      <x:c r="E42" s="47" t="n">
        <x:v>2026</x:v>
      </x:c>
      <x:c r="F42" s="47" t="n">
        <x:v>549964.3968000001</x:v>
      </x:c>
      <x:c r="G42" s="47" t="str">
        <x:v>2026E</x:v>
      </x:c>
      <x:c r="H42" s="47" t="str">
        <x:v>Model/Proxy</x:v>
      </x:c>
      <x:c r="I42" s="47" t="str">
        <x:v>S27;Model</x:v>
      </x:c>
      <x:c r="J42" s="47" t="str">
        <x:v>https://image5.sahibinden.com/staticContent/969bb478/2309/451b/af82/d321e8a0a74d/1706003743.pdf</x:v>
      </x:c>
      <x:c r="K42" s="48" t="str">
        <x:v>Resmî kira sözleşmesi adedi değildir; sahibindex/BETAM platform göstergesi yıllık proxy.</x:v>
      </x:c>
    </x:row>
    <x:row r="43">
      <x:c r="A43" s="46" t="str">
        <x:v>Türkiye</x:v>
      </x:c>
      <x:c r="B43" s="47" t="n">
        <x:v>5</x:v>
      </x:c>
      <x:c r="C43" s="47" t="str">
        <x:v>Kiralanan ev sayısı (platform proxy)</x:v>
      </x:c>
      <x:c r="D43" s="47" t="str">
        <x:v>adet/yıl</x:v>
      </x:c>
      <x:c r="E43" s="47" t="n">
        <x:v>2027</x:v>
      </x:c>
      <x:c r="F43" s="47" t="n">
        <x:v>569316.1539024593</x:v>
      </x:c>
      <x:c r="G43" s="47" t="str">
        <x:v>Tahmin</x:v>
      </x:c>
      <x:c r="H43" s="47" t="str">
        <x:v>Tahmin</x:v>
      </x:c>
      <x:c r="I43" s="47" t="str">
        <x:v>S27;S28;S29;Model</x:v>
      </x:c>
      <x:c r="J43" s="47" t="str">
        <x:v>https://image5.sahibinden.com/staticContent/969bb478/2309/451b/af82/d321e8a0a74d/1706003743.pdf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43" s="48" t="str">
        <x:v>Resmî kira sözleşmesi adedi değildir; sahibindex/BETAM platform göstergesi yıllık proxy.</x:v>
      </x:c>
    </x:row>
    <x:row r="44">
      <x:c r="A44" s="46" t="str">
        <x:v>Türkiye</x:v>
      </x:c>
      <x:c r="B44" s="47" t="n">
        <x:v>5</x:v>
      </x:c>
      <x:c r="C44" s="47" t="str">
        <x:v>Kiralanan ev sayısı (platform proxy)</x:v>
      </x:c>
      <x:c r="D44" s="47" t="str">
        <x:v>adet/yıl</x:v>
      </x:c>
      <x:c r="E44" s="47" t="n">
        <x:v>2028</x:v>
      </x:c>
      <x:c r="F44" s="47" t="n">
        <x:v>586754.9359294405</x:v>
      </x:c>
      <x:c r="G44" s="47" t="str">
        <x:v>Tahmin</x:v>
      </x:c>
      <x:c r="H44" s="47" t="str">
        <x:v>Tahmin</x:v>
      </x:c>
      <x:c r="I44" s="47" t="str">
        <x:v>S27;S28;S29;Model</x:v>
      </x:c>
      <x:c r="J44" s="47" t="str">
        <x:v>https://image5.sahibinden.com/staticContent/969bb478/2309/451b/af82/d321e8a0a74d/1706003743.pdf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44" s="48" t="str">
        <x:v>Resmî kira sözleşmesi adedi değildir; sahibindex/BETAM platform göstergesi yıllık proxy.</x:v>
      </x:c>
    </x:row>
    <x:row r="45">
      <x:c r="A45" s="46" t="str">
        <x:v>Türkiye</x:v>
      </x:c>
      <x:c r="B45" s="47" t="n">
        <x:v>5</x:v>
      </x:c>
      <x:c r="C45" s="47" t="str">
        <x:v>Kiralanan ev sayısı (platform proxy)</x:v>
      </x:c>
      <x:c r="D45" s="47" t="str">
        <x:v>adet/yıl</x:v>
      </x:c>
      <x:c r="E45" s="47" t="n">
        <x:v>2029</x:v>
      </x:c>
      <x:c r="F45" s="47" t="n">
        <x:v>602054.5217596565</x:v>
      </x:c>
      <x:c r="G45" s="47" t="str">
        <x:v>Tahmin</x:v>
      </x:c>
      <x:c r="H45" s="47" t="str">
        <x:v>Tahmin</x:v>
      </x:c>
      <x:c r="I45" s="47" t="str">
        <x:v>S27;S28;S29;Model</x:v>
      </x:c>
      <x:c r="J45" s="47" t="str">
        <x:v>https://image5.sahibinden.com/staticContent/969bb478/2309/451b/af82/d321e8a0a74d/1706003743.pdf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45" s="48" t="str">
        <x:v>Resmî kira sözleşmesi adedi değildir; sahibindex/BETAM platform göstergesi yıllık proxy.</x:v>
      </x:c>
    </x:row>
    <x:row r="46">
      <x:c r="A46" s="46" t="str">
        <x:v>Türkiye</x:v>
      </x:c>
      <x:c r="B46" s="47" t="n">
        <x:v>5</x:v>
      </x:c>
      <x:c r="C46" s="47" t="str">
        <x:v>Kiralanan ev sayısı (platform proxy)</x:v>
      </x:c>
      <x:c r="D46" s="47" t="str">
        <x:v>adet/yıl</x:v>
      </x:c>
      <x:c r="E46" s="47" t="n">
        <x:v>2030</x:v>
      </x:c>
      <x:c r="F46" s="47" t="n">
        <x:v>614095.6121948496</x:v>
      </x:c>
      <x:c r="G46" s="47" t="str">
        <x:v>Tahmin</x:v>
      </x:c>
      <x:c r="H46" s="47" t="str">
        <x:v>Tahmin</x:v>
      </x:c>
      <x:c r="I46" s="47" t="str">
        <x:v>S27;S28;S29;Model</x:v>
      </x:c>
      <x:c r="J46" s="47" t="str">
        <x:v>https://image5.sahibinden.com/staticContent/969bb478/2309/451b/af82/d321e8a0a74d/1706003743.pdf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46" s="48" t="str">
        <x:v>Resmî kira sözleşmesi adedi değildir; sahibindex/BETAM platform göstergesi yıllık proxy.</x:v>
      </x:c>
    </x:row>
    <x:row r="47">
      <x:c r="A47" s="46" t="str">
        <x:v>Türkiye</x:v>
      </x:c>
      <x:c r="B47" s="47" t="n">
        <x:v>6</x:v>
      </x:c>
      <x:c r="C47" s="47" t="str">
        <x:v>Ortalama kiralanan alan (ima edilen)</x:v>
      </x:c>
      <x:c r="D47" s="47" t="str">
        <x:v>m²</x:v>
      </x:c>
      <x:c r="E47" s="47" t="n">
        <x:v>2022</x:v>
      </x:c>
      <x:c r="F47" s="47" t="n">
        <x:v>97.52678751937462</x:v>
      </x:c>
      <x:c r="G47" s="47" t="str">
        <x:v>Yıl sonu / rapor dönemi</x:v>
      </x:c>
      <x:c r="H47" s="47" t="str">
        <x:v>Türetilmiş</x:v>
      </x:c>
      <x:c r="I47" s="47" t="str">
        <x:v>S14;S21</x:v>
      </x:c>
      <x:c r="J47" s="47" t="str">
        <x:v>https://www.gayrimenkulhaber.com/guncel/endeksa-acikladi-aralik-ayinda-kira-artisi-hiz-kesti-bazi-bolgelerde-dususler-var/ ; https://betam.bahcesehir.edu.tr/2023/01/sahibindex-kiralik-konut-piyasasi-gorunumu-ocak-2023/</x:v>
      </x:c>
      <x:c r="K47" s="48" t="str">
        <x:v>Ortalama kira / kiralık m² fiyatı ile çapraz-kaynak ima edilen alan.</x:v>
      </x:c>
    </x:row>
    <x:row r="48">
      <x:c r="A48" s="46" t="str">
        <x:v>Türkiye</x:v>
      </x:c>
      <x:c r="B48" s="47" t="n">
        <x:v>6</x:v>
      </x:c>
      <x:c r="C48" s="47" t="str">
        <x:v>Ortalama kiralanan alan (ima edilen)</x:v>
      </x:c>
      <x:c r="D48" s="47" t="str">
        <x:v>m²</x:v>
      </x:c>
      <x:c r="E48" s="47" t="n">
        <x:v>2023</x:v>
      </x:c>
      <x:c r="F48" s="47" t="n">
        <x:v>109.0580256217031</x:v>
      </x:c>
      <x:c r="G48" s="47" t="str">
        <x:v>Yıl sonu / rapor dönemi</x:v>
      </x:c>
      <x:c r="H48" s="47" t="str">
        <x:v>Türetilmiş</x:v>
      </x:c>
      <x:c r="I48" s="47" t="str">
        <x:v>S14;S22</x:v>
      </x:c>
      <x:c r="J48" s="47" t="str">
        <x:v>https://www.gayrimenkulhaber.com/guncel/endeksa-acikladi-aralik-ayinda-kira-artisi-hiz-kesti-bazi-bolgelerde-dususler-var/ ; https://betam.bahcesehir.edu.tr/2024/01/sahibindex-kiralik-konut-piyasasi-gorunumu-ocak-2024/</x:v>
      </x:c>
      <x:c r="K48" s="48" t="str">
        <x:v>Ortalama kira / kiralık m² fiyatı ile çapraz-kaynak ima edilen alan.</x:v>
      </x:c>
    </x:row>
    <x:row r="49">
      <x:c r="A49" s="46" t="str">
        <x:v>Türkiye</x:v>
      </x:c>
      <x:c r="B49" s="47" t="n">
        <x:v>6</x:v>
      </x:c>
      <x:c r="C49" s="47" t="str">
        <x:v>Ortalama kiralanan alan (ima edilen)</x:v>
      </x:c>
      <x:c r="D49" s="47" t="str">
        <x:v>m²</x:v>
      </x:c>
      <x:c r="E49" s="47" t="n">
        <x:v>2024</x:v>
      </x:c>
      <x:c r="F49" s="47" t="n">
        <x:v>104.92206726825266</x:v>
      </x:c>
      <x:c r="G49" s="47" t="str">
        <x:v>Yıl sonu / rapor dönemi</x:v>
      </x:c>
      <x:c r="H49" s="47" t="str">
        <x:v>Türetilmiş</x:v>
      </x:c>
      <x:c r="I49" s="47" t="str">
        <x:v>S15;S23</x:v>
      </x:c>
      <x:c r="J49" s="47" t="str">
        <x:v>https://www.gayrimenkulhaber.com/guncel/endeksa-2024-yillik-gayrimenkul-deger-raporu-yayimlandi/ ; https://betam.bahcesehir.edu.tr/2026/01/sahibindex-kiralik-konut-piyasasi-gorunumu-ocak-2026/</x:v>
      </x:c>
      <x:c r="K49" s="48" t="str">
        <x:v>Ortalama kira / kiralık m² fiyatı ile çapraz-kaynak ima edilen alan.</x:v>
      </x:c>
    </x:row>
    <x:row r="50">
      <x:c r="A50" s="46" t="str">
        <x:v>Türkiye</x:v>
      </x:c>
      <x:c r="B50" s="47" t="n">
        <x:v>6</x:v>
      </x:c>
      <x:c r="C50" s="47" t="str">
        <x:v>Ortalama kiralanan alan (ima edilen)</x:v>
      </x:c>
      <x:c r="D50" s="47" t="str">
        <x:v>m²</x:v>
      </x:c>
      <x:c r="E50" s="47" t="n">
        <x:v>2025</x:v>
      </x:c>
      <x:c r="F50" s="47" t="n">
        <x:v>104.10172272354389</x:v>
      </x:c>
      <x:c r="G50" s="47" t="str">
        <x:v>Yıl sonu / rapor dönemi</x:v>
      </x:c>
      <x:c r="H50" s="47" t="str">
        <x:v>Türetilmiş</x:v>
      </x:c>
      <x:c r="I50" s="47" t="str">
        <x:v>S16;S23</x:v>
      </x:c>
      <x:c r="J50" s="47" t="str">
        <x:v>https://www.karar.com/ekonomi-haberleri/konut-satislari-ne-durumda-emlakta-en-cok-kazandiran-il-hangisi-2033220 ; https://betam.bahcesehir.edu.tr/2026/01/sahibindex-kiralik-konut-piyasasi-gorunumu-ocak-2026/</x:v>
      </x:c>
      <x:c r="K50" s="48" t="str">
        <x:v>Ortalama kira / kiralık m² fiyatı ile çapraz-kaynak ima edilen alan.</x:v>
      </x:c>
    </x:row>
    <x:row r="51">
      <x:c r="A51" s="46" t="str">
        <x:v>Türkiye</x:v>
      </x:c>
      <x:c r="B51" s="47" t="n">
        <x:v>6</x:v>
      </x:c>
      <x:c r="C51" s="47" t="str">
        <x:v>Ortalama kiralanan alan (ima edilen)</x:v>
      </x:c>
      <x:c r="D51" s="47" t="str">
        <x:v>m²</x:v>
      </x:c>
      <x:c r="E51" s="47" t="n">
        <x:v>2026</x:v>
      </x:c>
      <x:c r="F51" s="47" t="n">
        <x:v>93.92590074779062</x:v>
      </x:c>
      <x:c r="G51" s="47" t="str">
        <x:v>Temmuz 2026 son gözlem</x:v>
      </x:c>
      <x:c r="H51" s="47" t="str">
        <x:v>Türetilmiş</x:v>
      </x:c>
      <x:c r="I51" s="47" t="str">
        <x:v>S17;S24</x:v>
      </x:c>
      <x:c r="J51" s="47" t="str">
        <x:v>https://www.emlakjet.com/satilik-konut ; https://www.cnbce.com/gayrimenkul/konut-piyasasinda-temmuz-hareketliligi-kiralikta-talep-artti-kiralar-reel-olarak-dustu-g36014</x:v>
      </x:c>
      <x:c r="K51" s="48" t="str">
        <x:v>Ortalama kira / kiralık m² fiyatı ile çapraz-kaynak ima edilen alan.</x:v>
      </x:c>
    </x:row>
    <x:row r="52">
      <x:c r="A52" s="46" t="str">
        <x:v>Türkiye</x:v>
      </x:c>
      <x:c r="B52" s="47" t="n">
        <x:v>6</x:v>
      </x:c>
      <x:c r="C52" s="47" t="str">
        <x:v>Ortalama kiralanan alan (ima edilen)</x:v>
      </x:c>
      <x:c r="D52" s="47" t="str">
        <x:v>m²</x:v>
      </x:c>
      <x:c r="E52" s="47" t="n">
        <x:v>2027</x:v>
      </x:c>
      <x:c r="F52" s="47" t="n">
        <x:v>93.92590074779062</x:v>
      </x:c>
      <x:c r="G52" s="47" t="str">
        <x:v>Tahmin</x:v>
      </x:c>
      <x:c r="H52" s="47" t="str">
        <x:v>Tahmin</x:v>
      </x:c>
      <x:c r="I52" s="47" t="str">
        <x:v>S17;S24;S28;S29;S24;S28;S29</x:v>
      </x:c>
      <x:c r="J52" s="47" t="str">
        <x:v>https://www.emlakjet.com/satilik-konut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52" s="48" t="str">
        <x:v>Ortalama kira / kiralık m² fiyatı ile çapraz-kaynak ima edilen alan.</x:v>
      </x:c>
    </x:row>
    <x:row r="53">
      <x:c r="A53" s="46" t="str">
        <x:v>Türkiye</x:v>
      </x:c>
      <x:c r="B53" s="47" t="n">
        <x:v>6</x:v>
      </x:c>
      <x:c r="C53" s="47" t="str">
        <x:v>Ortalama kiralanan alan (ima edilen)</x:v>
      </x:c>
      <x:c r="D53" s="47" t="str">
        <x:v>m²</x:v>
      </x:c>
      <x:c r="E53" s="47" t="n">
        <x:v>2028</x:v>
      </x:c>
      <x:c r="F53" s="47" t="n">
        <x:v>93.92590074779062</x:v>
      </x:c>
      <x:c r="G53" s="47" t="str">
        <x:v>Tahmin</x:v>
      </x:c>
      <x:c r="H53" s="47" t="str">
        <x:v>Tahmin</x:v>
      </x:c>
      <x:c r="I53" s="47" t="str">
        <x:v>S17;S24;S28;S29;S24;S28;S29</x:v>
      </x:c>
      <x:c r="J53" s="47" t="str">
        <x:v>https://www.emlakjet.com/satilik-konut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53" s="48" t="str">
        <x:v>Ortalama kira / kiralık m² fiyatı ile çapraz-kaynak ima edilen alan.</x:v>
      </x:c>
    </x:row>
    <x:row r="54">
      <x:c r="A54" s="46" t="str">
        <x:v>Türkiye</x:v>
      </x:c>
      <x:c r="B54" s="47" t="n">
        <x:v>6</x:v>
      </x:c>
      <x:c r="C54" s="47" t="str">
        <x:v>Ortalama kiralanan alan (ima edilen)</x:v>
      </x:c>
      <x:c r="D54" s="47" t="str">
        <x:v>m²</x:v>
      </x:c>
      <x:c r="E54" s="47" t="n">
        <x:v>2029</x:v>
      </x:c>
      <x:c r="F54" s="47" t="n">
        <x:v>93.92590074779062</x:v>
      </x:c>
      <x:c r="G54" s="47" t="str">
        <x:v>Tahmin</x:v>
      </x:c>
      <x:c r="H54" s="47" t="str">
        <x:v>Tahmin</x:v>
      </x:c>
      <x:c r="I54" s="47" t="str">
        <x:v>S17;S24;S28;S29;S24;S28;S29</x:v>
      </x:c>
      <x:c r="J54" s="47" t="str">
        <x:v>https://www.emlakjet.com/satilik-konut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54" s="48" t="str">
        <x:v>Ortalama kira / kiralık m² fiyatı ile çapraz-kaynak ima edilen alan.</x:v>
      </x:c>
    </x:row>
    <x:row r="55">
      <x:c r="A55" s="46" t="str">
        <x:v>Türkiye</x:v>
      </x:c>
      <x:c r="B55" s="47" t="n">
        <x:v>6</x:v>
      </x:c>
      <x:c r="C55" s="47" t="str">
        <x:v>Ortalama kiralanan alan (ima edilen)</x:v>
      </x:c>
      <x:c r="D55" s="47" t="str">
        <x:v>m²</x:v>
      </x:c>
      <x:c r="E55" s="47" t="n">
        <x:v>2030</x:v>
      </x:c>
      <x:c r="F55" s="47" t="n">
        <x:v>93.92590074779062</x:v>
      </x:c>
      <x:c r="G55" s="47" t="str">
        <x:v>Tahmin</x:v>
      </x:c>
      <x:c r="H55" s="47" t="str">
        <x:v>Tahmin</x:v>
      </x:c>
      <x:c r="I55" s="47" t="str">
        <x:v>S17;S24;S28;S29;S24;S28;S29</x:v>
      </x:c>
      <x:c r="J55" s="47" t="str">
        <x:v>https://www.emlakjet.com/satilik-konut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55" s="48" t="str">
        <x:v>Ortalama kira / kiralık m² fiyatı ile çapraz-kaynak ima edilen alan.</x:v>
      </x:c>
    </x:row>
    <x:row r="56">
      <x:c r="A56" s="46" t="str">
        <x:v>Türkiye</x:v>
      </x:c>
      <x:c r="B56" s="47" t="n">
        <x:v>7</x:v>
      </x:c>
      <x:c r="C56" s="47" t="str">
        <x:v>Ortalama kiralık m² fiyatı</x:v>
      </x:c>
      <x:c r="D56" s="47" t="str">
        <x:v>TL/m²/ay</x:v>
      </x:c>
      <x:c r="E56" s="47" t="n">
        <x:v>2022</x:v>
      </x:c>
      <x:c r="F56" s="47" t="n">
        <x:v>71</x:v>
      </x:c>
      <x:c r="G56" s="47" t="str">
        <x:v>Yıl sonu / rapor dönemi</x:v>
      </x:c>
      <x:c r="H56" s="47" t="str">
        <x:v>Piyasa verisi</x:v>
      </x:c>
      <x:c r="I56" s="47" t="str">
        <x:v>S21</x:v>
      </x:c>
      <x:c r="J56" s="47" t="str">
        <x:v>https://betam.bahcesehir.edu.tr/2023/01/sahibindex-kiralik-konut-piyasasi-gorunumu-ocak-2023/</x:v>
      </x:c>
      <x:c r="K56" s="48" t="str"/>
    </x:row>
    <x:row r="57">
      <x:c r="A57" s="46" t="str">
        <x:v>Türkiye</x:v>
      </x:c>
      <x:c r="B57" s="47" t="n">
        <x:v>7</x:v>
      </x:c>
      <x:c r="C57" s="47" t="str">
        <x:v>Ortalama kiralık m² fiyatı</x:v>
      </x:c>
      <x:c r="D57" s="47" t="str">
        <x:v>TL/m²/ay</x:v>
      </x:c>
      <x:c r="E57" s="47" t="n">
        <x:v>2023</x:v>
      </x:c>
      <x:c r="F57" s="47" t="n">
        <x:v>132.7</x:v>
      </x:c>
      <x:c r="G57" s="47" t="str">
        <x:v>Yıl sonu / rapor dönemi</x:v>
      </x:c>
      <x:c r="H57" s="47" t="str">
        <x:v>Piyasa verisi</x:v>
      </x:c>
      <x:c r="I57" s="47" t="str">
        <x:v>S22</x:v>
      </x:c>
      <x:c r="J57" s="47" t="str">
        <x:v>https://betam.bahcesehir.edu.tr/2024/01/sahibindex-kiralik-konut-piyasasi-gorunumu-ocak-2024/</x:v>
      </x:c>
      <x:c r="K57" s="48" t="str"/>
    </x:row>
    <x:row r="58">
      <x:c r="A58" s="46" t="str">
        <x:v>Türkiye</x:v>
      </x:c>
      <x:c r="B58" s="47" t="n">
        <x:v>7</x:v>
      </x:c>
      <x:c r="C58" s="47" t="str">
        <x:v>Ortalama kiralık m² fiyatı</x:v>
      </x:c>
      <x:c r="D58" s="47" t="str">
        <x:v>TL/m²/ay</x:v>
      </x:c>
      <x:c r="E58" s="47" t="n">
        <x:v>2024</x:v>
      </x:c>
      <x:c r="F58" s="47" t="n">
        <x:v>190.61767005473027</x:v>
      </x:c>
      <x:c r="G58" s="47" t="str">
        <x:v>Yıl sonu / rapor dönemi</x:v>
      </x:c>
      <x:c r="H58" s="47" t="str">
        <x:v>Türetilmiş / geriye hesap</x:v>
      </x:c>
      <x:c r="I58" s="47" t="str">
        <x:v>S23</x:v>
      </x:c>
      <x:c r="J58" s="47" t="str">
        <x:v>https://betam.bahcesehir.edu.tr/2026/01/sahibindex-kiralik-konut-piyasasi-gorunumu-ocak-2026/</x:v>
      </x:c>
      <x:c r="K58" s="48" t="str"/>
    </x:row>
    <x:row r="59">
      <x:c r="A59" s="46" t="str">
        <x:v>Türkiye</x:v>
      </x:c>
      <x:c r="B59" s="47" t="n">
        <x:v>7</x:v>
      </x:c>
      <x:c r="C59" s="47" t="str">
        <x:v>Ortalama kiralık m² fiyatı</x:v>
      </x:c>
      <x:c r="D59" s="47" t="str">
        <x:v>TL/m²/ay</x:v>
      </x:c>
      <x:c r="E59" s="47" t="n">
        <x:v>2025</x:v>
      </x:c>
      <x:c r="F59" s="47" t="n">
        <x:v>243.8</x:v>
      </x:c>
      <x:c r="G59" s="47" t="str">
        <x:v>Yıl sonu / rapor dönemi</x:v>
      </x:c>
      <x:c r="H59" s="47" t="str">
        <x:v>Piyasa verisi</x:v>
      </x:c>
      <x:c r="I59" s="47" t="str">
        <x:v>S23</x:v>
      </x:c>
      <x:c r="J59" s="47" t="str">
        <x:v>https://betam.bahcesehir.edu.tr/2026/01/sahibindex-kiralik-konut-piyasasi-gorunumu-ocak-2026/</x:v>
      </x:c>
      <x:c r="K59" s="48" t="str"/>
    </x:row>
    <x:row r="60">
      <x:c r="A60" s="46" t="str">
        <x:v>Türkiye</x:v>
      </x:c>
      <x:c r="B60" s="47" t="n">
        <x:v>7</x:v>
      </x:c>
      <x:c r="C60" s="47" t="str">
        <x:v>Ortalama kiralık m² fiyatı</x:v>
      </x:c>
      <x:c r="D60" s="47" t="str">
        <x:v>TL/m²/ay</x:v>
      </x:c>
      <x:c r="E60" s="47" t="n">
        <x:v>2026</x:v>
      </x:c>
      <x:c r="F60" s="47" t="n">
        <x:v>294.2</x:v>
      </x:c>
      <x:c r="G60" s="47" t="str">
        <x:v>Temmuz 2026 son gözlem</x:v>
      </x:c>
      <x:c r="H60" s="47" t="str">
        <x:v>Son piyasa gözlemi</x:v>
      </x:c>
      <x:c r="I60" s="47" t="str">
        <x:v>S24</x:v>
      </x:c>
      <x:c r="J60" s="47" t="str">
        <x:v>https://www.cnbce.com/gayrimenkul/konut-piyasasinda-temmuz-hareketliligi-kiralikta-talep-artti-kiralar-reel-olarak-dustu-g36014</x:v>
      </x:c>
      <x:c r="K60" s="48" t="str"/>
    </x:row>
    <x:row r="61">
      <x:c r="A61" s="46" t="str">
        <x:v>Türkiye</x:v>
      </x:c>
      <x:c r="B61" s="47" t="n">
        <x:v>7</x:v>
      </x:c>
      <x:c r="C61" s="47" t="str">
        <x:v>Ortalama kiralık m² fiyatı</x:v>
      </x:c>
      <x:c r="D61" s="47" t="str">
        <x:v>TL/m²/ay</x:v>
      </x:c>
      <x:c r="E61" s="47" t="n">
        <x:v>2027</x:v>
      </x:c>
      <x:c r="F61" s="47" t="n">
        <x:v>338.33</x:v>
      </x:c>
      <x:c r="G61" s="47" t="str">
        <x:v>Tahmin</x:v>
      </x:c>
      <x:c r="H61" s="47" t="str">
        <x:v>Tahmin</x:v>
      </x:c>
      <x:c r="I61" s="47" t="str">
        <x:v>S24;S28;S29</x:v>
      </x:c>
      <x:c r="J61" s="47" t="str">
        <x:v>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61" s="48" t="str">
        <x:v>Nominal fiyat patikası: 2027 %15, 2028 %9, 2029 %6, 2030 %5.</x:v>
      </x:c>
    </x:row>
    <x:row r="62">
      <x:c r="A62" s="46" t="str">
        <x:v>Türkiye</x:v>
      </x:c>
      <x:c r="B62" s="47" t="n">
        <x:v>7</x:v>
      </x:c>
      <x:c r="C62" s="47" t="str">
        <x:v>Ortalama kiralık m² fiyatı</x:v>
      </x:c>
      <x:c r="D62" s="47" t="str">
        <x:v>TL/m²/ay</x:v>
      </x:c>
      <x:c r="E62" s="47" t="n">
        <x:v>2028</x:v>
      </x:c>
      <x:c r="F62" s="47" t="n">
        <x:v>368.7797</x:v>
      </x:c>
      <x:c r="G62" s="47" t="str">
        <x:v>Tahmin</x:v>
      </x:c>
      <x:c r="H62" s="47" t="str">
        <x:v>Tahmin</x:v>
      </x:c>
      <x:c r="I62" s="47" t="str">
        <x:v>S24;S28;S29</x:v>
      </x:c>
      <x:c r="J62" s="47" t="str">
        <x:v>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62" s="48" t="str">
        <x:v>Nominal fiyat patikası: 2027 %15, 2028 %9, 2029 %6, 2030 %5.</x:v>
      </x:c>
    </x:row>
    <x:row r="63">
      <x:c r="A63" s="46" t="str">
        <x:v>Türkiye</x:v>
      </x:c>
      <x:c r="B63" s="47" t="n">
        <x:v>7</x:v>
      </x:c>
      <x:c r="C63" s="47" t="str">
        <x:v>Ortalama kiralık m² fiyatı</x:v>
      </x:c>
      <x:c r="D63" s="47" t="str">
        <x:v>TL/m²/ay</x:v>
      </x:c>
      <x:c r="E63" s="47" t="n">
        <x:v>2029</x:v>
      </x:c>
      <x:c r="F63" s="47" t="n">
        <x:v>390.906482</x:v>
      </x:c>
      <x:c r="G63" s="47" t="str">
        <x:v>Tahmin</x:v>
      </x:c>
      <x:c r="H63" s="47" t="str">
        <x:v>Tahmin</x:v>
      </x:c>
      <x:c r="I63" s="47" t="str">
        <x:v>S24;S28;S29</x:v>
      </x:c>
      <x:c r="J63" s="47" t="str">
        <x:v>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63" s="48" t="str">
        <x:v>Nominal fiyat patikası: 2027 %15, 2028 %9, 2029 %6, 2030 %5.</x:v>
      </x:c>
    </x:row>
    <x:row r="64">
      <x:c r="A64" s="46" t="str">
        <x:v>Türkiye</x:v>
      </x:c>
      <x:c r="B64" s="47" t="n">
        <x:v>7</x:v>
      </x:c>
      <x:c r="C64" s="47" t="str">
        <x:v>Ortalama kiralık m² fiyatı</x:v>
      </x:c>
      <x:c r="D64" s="47" t="str">
        <x:v>TL/m²/ay</x:v>
      </x:c>
      <x:c r="E64" s="47" t="n">
        <x:v>2030</x:v>
      </x:c>
      <x:c r="F64" s="47" t="n">
        <x:v>410.4518061</x:v>
      </x:c>
      <x:c r="G64" s="47" t="str">
        <x:v>Tahmin</x:v>
      </x:c>
      <x:c r="H64" s="47" t="str">
        <x:v>Tahmin</x:v>
      </x:c>
      <x:c r="I64" s="47" t="str">
        <x:v>S24;S28;S29</x:v>
      </x:c>
      <x:c r="J64" s="47" t="str">
        <x:v>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64" s="48" t="str">
        <x:v>Nominal fiyat patikası: 2027 %15, 2028 %9, 2029 %6, 2030 %5.</x:v>
      </x:c>
    </x:row>
    <x:row r="65">
      <x:c r="A65" s="46" t="str">
        <x:v>Türkiye</x:v>
      </x:c>
      <x:c r="B65" s="47" t="n">
        <x:v>8</x:v>
      </x:c>
      <x:c r="C65" s="47" t="str">
        <x:v>Ortalama kira fiyatı</x:v>
      </x:c>
      <x:c r="D65" s="47" t="str">
        <x:v>TL/ay</x:v>
      </x:c>
      <x:c r="E65" s="47" t="n">
        <x:v>2022</x:v>
      </x:c>
      <x:c r="F65" s="47" t="n">
        <x:v>6924.401913875598</x:v>
      </x:c>
      <x:c r="G65" s="47" t="str">
        <x:v>Yıl sonu / rapor dönemi</x:v>
      </x:c>
      <x:c r="H65" s="47" t="str">
        <x:v>Türetilmiş / geriye hesap</x:v>
      </x:c>
      <x:c r="I65" s="47" t="str">
        <x:v>S14</x:v>
      </x:c>
      <x:c r="J65" s="47" t="str">
        <x:v>https://www.gayrimenkulhaber.com/guncel/endeksa-acikladi-aralik-ayinda-kira-artisi-hiz-kesti-bazi-bolgelerde-dususler-var/</x:v>
      </x:c>
      <x:c r="K65" s="48" t="str"/>
    </x:row>
    <x:row r="66">
      <x:c r="A66" s="46" t="str">
        <x:v>Türkiye</x:v>
      </x:c>
      <x:c r="B66" s="47" t="n">
        <x:v>8</x:v>
      </x:c>
      <x:c r="C66" s="47" t="str">
        <x:v>Ortalama kira fiyatı</x:v>
      </x:c>
      <x:c r="D66" s="47" t="str">
        <x:v>TL/ay</x:v>
      </x:c>
      <x:c r="E66" s="47" t="n">
        <x:v>2023</x:v>
      </x:c>
      <x:c r="F66" s="47" t="n">
        <x:v>14472</x:v>
      </x:c>
      <x:c r="G66" s="47" t="str">
        <x:v>Yıl sonu / rapor dönemi</x:v>
      </x:c>
      <x:c r="H66" s="47" t="str">
        <x:v>Piyasa verisi</x:v>
      </x:c>
      <x:c r="I66" s="47" t="str">
        <x:v>S14</x:v>
      </x:c>
      <x:c r="J66" s="47" t="str">
        <x:v>https://www.gayrimenkulhaber.com/guncel/endeksa-acikladi-aralik-ayinda-kira-artisi-hiz-kesti-bazi-bolgelerde-dususler-var/</x:v>
      </x:c>
      <x:c r="K66" s="48" t="str"/>
    </x:row>
    <x:row r="67">
      <x:c r="A67" s="46" t="str">
        <x:v>Türkiye</x:v>
      </x:c>
      <x:c r="B67" s="47" t="n">
        <x:v>8</x:v>
      </x:c>
      <x:c r="C67" s="47" t="str">
        <x:v>Ortalama kira fiyatı</x:v>
      </x:c>
      <x:c r="D67" s="47" t="str">
        <x:v>TL/ay</x:v>
      </x:c>
      <x:c r="E67" s="47" t="n">
        <x:v>2024</x:v>
      </x:c>
      <x:c r="F67" s="47" t="n">
        <x:v>20000</x:v>
      </x:c>
      <x:c r="G67" s="47" t="str">
        <x:v>Yıl sonu / rapor dönemi</x:v>
      </x:c>
      <x:c r="H67" s="47" t="str">
        <x:v>Piyasa verisi</x:v>
      </x:c>
      <x:c r="I67" s="47" t="str">
        <x:v>S15</x:v>
      </x:c>
      <x:c r="J67" s="47" t="str">
        <x:v>https://www.gayrimenkulhaber.com/guncel/endeksa-2024-yillik-gayrimenkul-deger-raporu-yayimlandi/</x:v>
      </x:c>
      <x:c r="K67" s="48" t="str"/>
    </x:row>
    <x:row r="68">
      <x:c r="A68" s="46" t="str">
        <x:v>Türkiye</x:v>
      </x:c>
      <x:c r="B68" s="47" t="n">
        <x:v>8</x:v>
      </x:c>
      <x:c r="C68" s="47" t="str">
        <x:v>Ortalama kira fiyatı</x:v>
      </x:c>
      <x:c r="D68" s="47" t="str">
        <x:v>TL/ay</x:v>
      </x:c>
      <x:c r="E68" s="47" t="n">
        <x:v>2025</x:v>
      </x:c>
      <x:c r="F68" s="47" t="n">
        <x:v>25380</x:v>
      </x:c>
      <x:c r="G68" s="47" t="str">
        <x:v>Yıl sonu / rapor dönemi</x:v>
      </x:c>
      <x:c r="H68" s="47" t="str">
        <x:v>Piyasa verisi</x:v>
      </x:c>
      <x:c r="I68" s="47" t="str">
        <x:v>S16</x:v>
      </x:c>
      <x:c r="J68" s="47" t="str">
        <x:v>https://www.karar.com/ekonomi-haberleri/konut-satislari-ne-durumda-emlakta-en-cok-kazandiran-il-hangisi-2033220</x:v>
      </x:c>
      <x:c r="K68" s="48" t="str"/>
    </x:row>
    <x:row r="69">
      <x:c r="A69" s="46" t="str">
        <x:v>Türkiye</x:v>
      </x:c>
      <x:c r="B69" s="47" t="n">
        <x:v>8</x:v>
      </x:c>
      <x:c r="C69" s="47" t="str">
        <x:v>Ortalama kira fiyatı</x:v>
      </x:c>
      <x:c r="D69" s="47" t="str">
        <x:v>TL/ay</x:v>
      </x:c>
      <x:c r="E69" s="47" t="n">
        <x:v>2026</x:v>
      </x:c>
      <x:c r="F69" s="47" t="n">
        <x:v>27633</x:v>
      </x:c>
      <x:c r="G69" s="47" t="str">
        <x:v>Temmuz 2026 son gözlem</x:v>
      </x:c>
      <x:c r="H69" s="47" t="str">
        <x:v>Son piyasa gözlemi</x:v>
      </x:c>
      <x:c r="I69" s="47" t="str">
        <x:v>S17</x:v>
      </x:c>
      <x:c r="J69" s="47" t="str">
        <x:v>https://www.emlakjet.com/satilik-konut</x:v>
      </x:c>
      <x:c r="K69" s="48" t="str"/>
    </x:row>
    <x:row r="70">
      <x:c r="A70" s="46" t="str">
        <x:v>Türkiye</x:v>
      </x:c>
      <x:c r="B70" s="47" t="n">
        <x:v>8</x:v>
      </x:c>
      <x:c r="C70" s="47" t="str">
        <x:v>Ortalama kira fiyatı</x:v>
      </x:c>
      <x:c r="D70" s="47" t="str">
        <x:v>TL/ay</x:v>
      </x:c>
      <x:c r="E70" s="47" t="n">
        <x:v>2027</x:v>
      </x:c>
      <x:c r="F70" s="47" t="n">
        <x:v>31777.95</x:v>
      </x:c>
      <x:c r="G70" s="47" t="str">
        <x:v>Tahmin</x:v>
      </x:c>
      <x:c r="H70" s="47" t="str">
        <x:v>Tahmin</x:v>
      </x:c>
      <x:c r="I70" s="47" t="str">
        <x:v>S17;S24;S28;S29</x:v>
      </x:c>
      <x:c r="J70" s="47" t="str">
        <x:v>https://www.emlakjet.com/satilik-konut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70" s="48" t="str"/>
    </x:row>
    <x:row r="71">
      <x:c r="A71" s="46" t="str">
        <x:v>Türkiye</x:v>
      </x:c>
      <x:c r="B71" s="47" t="n">
        <x:v>8</x:v>
      </x:c>
      <x:c r="C71" s="47" t="str">
        <x:v>Ortalama kira fiyatı</x:v>
      </x:c>
      <x:c r="D71" s="47" t="str">
        <x:v>TL/ay</x:v>
      </x:c>
      <x:c r="E71" s="47" t="n">
        <x:v>2028</x:v>
      </x:c>
      <x:c r="F71" s="47" t="n">
        <x:v>34637.9655</x:v>
      </x:c>
      <x:c r="G71" s="47" t="str">
        <x:v>Tahmin</x:v>
      </x:c>
      <x:c r="H71" s="47" t="str">
        <x:v>Tahmin</x:v>
      </x:c>
      <x:c r="I71" s="47" t="str">
        <x:v>S17;S24;S28;S29</x:v>
      </x:c>
      <x:c r="J71" s="47" t="str">
        <x:v>https://www.emlakjet.com/satilik-konut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71" s="48" t="str"/>
    </x:row>
    <x:row r="72">
      <x:c r="A72" s="46" t="str">
        <x:v>Türkiye</x:v>
      </x:c>
      <x:c r="B72" s="47" t="n">
        <x:v>8</x:v>
      </x:c>
      <x:c r="C72" s="47" t="str">
        <x:v>Ortalama kira fiyatı</x:v>
      </x:c>
      <x:c r="D72" s="47" t="str">
        <x:v>TL/ay</x:v>
      </x:c>
      <x:c r="E72" s="47" t="n">
        <x:v>2029</x:v>
      </x:c>
      <x:c r="F72" s="47" t="n">
        <x:v>36716.24343</x:v>
      </x:c>
      <x:c r="G72" s="47" t="str">
        <x:v>Tahmin</x:v>
      </x:c>
      <x:c r="H72" s="47" t="str">
        <x:v>Tahmin</x:v>
      </x:c>
      <x:c r="I72" s="47" t="str">
        <x:v>S17;S24;S28;S29</x:v>
      </x:c>
      <x:c r="J72" s="47" t="str">
        <x:v>https://www.emlakjet.com/satilik-konut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72" s="48" t="str"/>
    </x:row>
    <x:row r="73">
      <x:c r="A73" s="46" t="str">
        <x:v>Türkiye</x:v>
      </x:c>
      <x:c r="B73" s="47" t="n">
        <x:v>8</x:v>
      </x:c>
      <x:c r="C73" s="47" t="str">
        <x:v>Ortalama kira fiyatı</x:v>
      </x:c>
      <x:c r="D73" s="47" t="str">
        <x:v>TL/ay</x:v>
      </x:c>
      <x:c r="E73" s="47" t="n">
        <x:v>2030</x:v>
      </x:c>
      <x:c r="F73" s="47" t="n">
        <x:v>38552.055601500004</x:v>
      </x:c>
      <x:c r="G73" s="47" t="str">
        <x:v>Tahmin</x:v>
      </x:c>
      <x:c r="H73" s="47" t="str">
        <x:v>Tahmin</x:v>
      </x:c>
      <x:c r="I73" s="47" t="str">
        <x:v>S17;S24;S28;S29</x:v>
      </x:c>
      <x:c r="J73" s="47" t="str">
        <x:v>https://www.emlakjet.com/satilik-konut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73" s="48" t="str"/>
    </x:row>
    <x:row r="74">
      <x:c r="A74" s="46" t="str">
        <x:v>İstanbul</x:v>
      </x:c>
      <x:c r="B74" s="47" t="n">
        <x:v>1</x:v>
      </x:c>
      <x:c r="C74" s="47" t="str">
        <x:v>Satılan ev sayısı</x:v>
      </x:c>
      <x:c r="D74" s="47" t="str">
        <x:v>adet</x:v>
      </x:c>
      <x:c r="E74" s="47" t="n">
        <x:v>2022</x:v>
      </x:c>
      <x:c r="F74" s="47" t="n">
        <x:v>259654</x:v>
      </x:c>
      <x:c r="G74" s="47" t="str">
        <x:v>Tam yıl</x:v>
      </x:c>
      <x:c r="H74" s="47" t="str">
        <x:v>Resmî gerçekleşen</x:v>
      </x:c>
      <x:c r="I74" s="47" t="str">
        <x:v>S01</x:v>
      </x:c>
      <x:c r="J74" s="47" t="str">
        <x:v>https://veriportali.tuik.gov.tr/Bulten/Index?dil=1&amp;p=Konut-Satis-Istatistikleri-Aralik-2022-49526</x:v>
      </x:c>
      <x:c r="K74" s="48" t="str"/>
    </x:row>
    <x:row r="75">
      <x:c r="A75" s="46" t="str">
        <x:v>İstanbul</x:v>
      </x:c>
      <x:c r="B75" s="47" t="n">
        <x:v>1</x:v>
      </x:c>
      <x:c r="C75" s="47" t="str">
        <x:v>Satılan ev sayısı</x:v>
      </x:c>
      <x:c r="D75" s="47" t="str">
        <x:v>adet</x:v>
      </x:c>
      <x:c r="E75" s="47" t="n">
        <x:v>2023</x:v>
      </x:c>
      <x:c r="F75" s="47" t="n">
        <x:v>198739</x:v>
      </x:c>
      <x:c r="G75" s="47" t="str">
        <x:v>Tam yıl</x:v>
      </x:c>
      <x:c r="H75" s="47" t="str">
        <x:v>Resmî gerçekleşen</x:v>
      </x:c>
      <x:c r="I75" s="47" t="str">
        <x:v>S02</x:v>
      </x:c>
      <x:c r="J75" s="47" t="str">
        <x:v>https://veriportali.tuik.gov.tr/tr/press/49516</x:v>
      </x:c>
      <x:c r="K75" s="48" t="str"/>
    </x:row>
    <x:row r="76">
      <x:c r="A76" s="46" t="str">
        <x:v>İstanbul</x:v>
      </x:c>
      <x:c r="B76" s="47" t="n">
        <x:v>1</x:v>
      </x:c>
      <x:c r="C76" s="47" t="str">
        <x:v>Satılan ev sayısı</x:v>
      </x:c>
      <x:c r="D76" s="47" t="str">
        <x:v>adet</x:v>
      </x:c>
      <x:c r="E76" s="47" t="n">
        <x:v>2024</x:v>
      </x:c>
      <x:c r="F76" s="47" t="n">
        <x:v>239213</x:v>
      </x:c>
      <x:c r="G76" s="47" t="str">
        <x:v>Tam yıl</x:v>
      </x:c>
      <x:c r="H76" s="47" t="str">
        <x:v>Resmî gerçekleşen</x:v>
      </x:c>
      <x:c r="I76" s="47" t="str">
        <x:v>S03</x:v>
      </x:c>
      <x:c r="J76" s="47" t="str">
        <x:v>https://veriportali.tuik.gov.tr/tr/press/54146</x:v>
      </x:c>
      <x:c r="K76" s="48" t="str"/>
    </x:row>
    <x:row r="77">
      <x:c r="A77" s="46" t="str">
        <x:v>İstanbul</x:v>
      </x:c>
      <x:c r="B77" s="47" t="n">
        <x:v>1</x:v>
      </x:c>
      <x:c r="C77" s="47" t="str">
        <x:v>Satılan ev sayısı</x:v>
      </x:c>
      <x:c r="D77" s="47" t="str">
        <x:v>adet</x:v>
      </x:c>
      <x:c r="E77" s="47" t="n">
        <x:v>2025</x:v>
      </x:c>
      <x:c r="F77" s="47" t="n">
        <x:v>280262</x:v>
      </x:c>
      <x:c r="G77" s="47" t="str">
        <x:v>Tam yıl</x:v>
      </x:c>
      <x:c r="H77" s="47" t="str">
        <x:v>Resmî gerçekleşen</x:v>
      </x:c>
      <x:c r="I77" s="47" t="str">
        <x:v>S04</x:v>
      </x:c>
      <x:c r="J77" s="47" t="str">
        <x:v>https://veriportali.tuik.gov.tr/tr/press/58350</x:v>
      </x:c>
      <x:c r="K77" s="48" t="str"/>
    </x:row>
    <x:row r="78">
      <x:c r="A78" s="46" t="str">
        <x:v>İstanbul</x:v>
      </x:c>
      <x:c r="B78" s="47" t="n">
        <x:v>1</x:v>
      </x:c>
      <x:c r="C78" s="47" t="str">
        <x:v>Satılan ev sayısı</x:v>
      </x:c>
      <x:c r="D78" s="47" t="str">
        <x:v>adet</x:v>
      </x:c>
      <x:c r="E78" s="47" t="n">
        <x:v>2026</x:v>
      </x:c>
      <x:c r="F78" s="47" t="n">
        <x:v>264926.1825241425</x:v>
      </x:c>
      <x:c r="G78" s="47" t="str">
        <x:v>2026E</x:v>
      </x:c>
      <x:c r="H78" s="47" t="str">
        <x:v>2026E yıllık tahmin</x:v>
      </x:c>
      <x:c r="I78" s="47" t="str">
        <x:v>S04;S05</x:v>
      </x:c>
      <x:c r="J78" s="47" t="str">
        <x:v>https://veriportali.tuik.gov.tr/tr/press/58350 ; https://veriportali.tuik.gov.tr/tr/press/58339</x:v>
      </x:c>
      <x:c r="K78" s="48" t="str"/>
    </x:row>
    <x:row r="79">
      <x:c r="A79" s="46" t="str">
        <x:v>İstanbul</x:v>
      </x:c>
      <x:c r="B79" s="47" t="n">
        <x:v>1</x:v>
      </x:c>
      <x:c r="C79" s="47" t="str">
        <x:v>Satılan ev sayısı</x:v>
      </x:c>
      <x:c r="D79" s="47" t="str">
        <x:v>adet</x:v>
      </x:c>
      <x:c r="E79" s="47" t="n">
        <x:v>2027</x:v>
      </x:c>
      <x:c r="F79" s="47" t="n">
        <x:v>268242.7883501454</x:v>
      </x:c>
      <x:c r="G79" s="47" t="str">
        <x:v>Tahmin</x:v>
      </x:c>
      <x:c r="H79" s="47" t="str">
        <x:v>Tahmin</x:v>
      </x:c>
      <x:c r="I79" s="47" t="str">
        <x:v>S05;S28;S29</x:v>
      </x:c>
      <x:c r="J79" s="47" t="str">
        <x:v>https://veriportali.tuik.gov.tr/tr/press/58339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79" s="48" t="str">
        <x:v>2022-2026 CAGR ile %2 uzun dönem işlem büyümesi harmanlanmıştır.</x:v>
      </x:c>
    </x:row>
    <x:row r="80">
      <x:c r="A80" s="46" t="str">
        <x:v>İstanbul</x:v>
      </x:c>
      <x:c r="B80" s="47" t="n">
        <x:v>1</x:v>
      </x:c>
      <x:c r="C80" s="47" t="str">
        <x:v>Satılan ev sayısı</x:v>
      </x:c>
      <x:c r="D80" s="47" t="str">
        <x:v>adet</x:v>
      </x:c>
      <x:c r="E80" s="47" t="n">
        <x:v>2028</x:v>
      </x:c>
      <x:c r="F80" s="47" t="n">
        <x:v>272202.9335260022</x:v>
      </x:c>
      <x:c r="G80" s="47" t="str">
        <x:v>Tahmin</x:v>
      </x:c>
      <x:c r="H80" s="47" t="str">
        <x:v>Tahmin</x:v>
      </x:c>
      <x:c r="I80" s="47" t="str">
        <x:v>S05;S28;S29</x:v>
      </x:c>
      <x:c r="J80" s="47" t="str">
        <x:v>https://veriportali.tuik.gov.tr/tr/press/58339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80" s="48" t="str">
        <x:v>2022-2026 CAGR ile %2 uzun dönem işlem büyümesi harmanlanmıştır.</x:v>
      </x:c>
    </x:row>
    <x:row r="81">
      <x:c r="A81" s="46" t="str">
        <x:v>İstanbul</x:v>
      </x:c>
      <x:c r="B81" s="47" t="n">
        <x:v>1</x:v>
      </x:c>
      <x:c r="C81" s="47" t="str">
        <x:v>Satılan ev sayısı</x:v>
      </x:c>
      <x:c r="D81" s="47" t="str">
        <x:v>adet</x:v>
      </x:c>
      <x:c r="E81" s="47" t="n">
        <x:v>2029</x:v>
      </x:c>
      <x:c r="F81" s="47" t="n">
        <x:v>276832.4500615157</x:v>
      </x:c>
      <x:c r="G81" s="47" t="str">
        <x:v>Tahmin</x:v>
      </x:c>
      <x:c r="H81" s="47" t="str">
        <x:v>Tahmin</x:v>
      </x:c>
      <x:c r="I81" s="47" t="str">
        <x:v>S05;S28;S29</x:v>
      </x:c>
      <x:c r="J81" s="47" t="str">
        <x:v>https://veriportali.tuik.gov.tr/tr/press/58339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81" s="48" t="str">
        <x:v>2022-2026 CAGR ile %2 uzun dönem işlem büyümesi harmanlanmıştır.</x:v>
      </x:c>
    </x:row>
    <x:row r="82">
      <x:c r="A82" s="46" t="str">
        <x:v>İstanbul</x:v>
      </x:c>
      <x:c r="B82" s="47" t="n">
        <x:v>1</x:v>
      </x:c>
      <x:c r="C82" s="47" t="str">
        <x:v>Satılan ev sayısı</x:v>
      </x:c>
      <x:c r="D82" s="47" t="str">
        <x:v>adet</x:v>
      </x:c>
      <x:c r="E82" s="47" t="n">
        <x:v>2030</x:v>
      </x:c>
      <x:c r="F82" s="47" t="n">
        <x:v>282369.099062746</x:v>
      </x:c>
      <x:c r="G82" s="47" t="str">
        <x:v>Tahmin</x:v>
      </x:c>
      <x:c r="H82" s="47" t="str">
        <x:v>Tahmin</x:v>
      </x:c>
      <x:c r="I82" s="47" t="str">
        <x:v>S05;S28;S29</x:v>
      </x:c>
      <x:c r="J82" s="47" t="str">
        <x:v>https://veriportali.tuik.gov.tr/tr/press/58339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82" s="48" t="str">
        <x:v>2022-2026 CAGR ile %2 uzun dönem işlem büyümesi harmanlanmıştır.</x:v>
      </x:c>
    </x:row>
    <x:row r="83">
      <x:c r="A83" s="46" t="str">
        <x:v>İstanbul</x:v>
      </x:c>
      <x:c r="B83" s="47" t="n">
        <x:v>2</x:v>
      </x:c>
      <x:c r="C83" s="47" t="str">
        <x:v>Ortalama satılık konut alanı</x:v>
      </x:c>
      <x:c r="D83" s="47" t="str">
        <x:v>m²</x:v>
      </x:c>
      <x:c r="E83" s="47" t="n">
        <x:v>2022</x:v>
      </x:c>
      <x:c r="F83" s="47" t="n">
        <x:v>120</x:v>
      </x:c>
      <x:c r="G83" s="47" t="str">
        <x:v>Yıl sonu / rapor dönemi</x:v>
      </x:c>
      <x:c r="H83" s="47" t="str">
        <x:v>Türetilmiş</x:v>
      </x:c>
      <x:c r="I83" s="47" t="str">
        <x:v>S06</x:v>
      </x:c>
      <x:c r="J83" s="47" t="str">
        <x:v>https://www.emlakdream.com/turkiyede-ortalama-bir-ev-fiyati-1-8-milyon-tlye-yukseldi/</x:v>
      </x:c>
      <x:c r="K83" s="48" t="str"/>
    </x:row>
    <x:row r="84">
      <x:c r="A84" s="46" t="str">
        <x:v>İstanbul</x:v>
      </x:c>
      <x:c r="B84" s="47" t="n">
        <x:v>2</x:v>
      </x:c>
      <x:c r="C84" s="47" t="str">
        <x:v>Ortalama satılık konut alanı</x:v>
      </x:c>
      <x:c r="D84" s="47" t="str">
        <x:v>m²</x:v>
      </x:c>
      <x:c r="E84" s="47" t="n">
        <x:v>2023</x:v>
      </x:c>
      <x:c r="F84" s="47" t="n">
        <x:v>115</x:v>
      </x:c>
      <x:c r="G84" s="47" t="str">
        <x:v>Yıl sonu / rapor dönemi</x:v>
      </x:c>
      <x:c r="H84" s="47" t="str">
        <x:v>Türetilmiş</x:v>
      </x:c>
      <x:c r="I84" s="47" t="str">
        <x:v>S07</x:v>
      </x:c>
      <x:c r="J84" s="47" t="str">
        <x:v>https://www.gayrimenkulhaber.com/emlak-haberleri/turkiyede-ortalama-konut-fiyati-3-milyon-92-bin-700-tl-oldu/</x:v>
      </x:c>
      <x:c r="K84" s="48" t="str"/>
    </x:row>
    <x:row r="85">
      <x:c r="A85" s="46" t="str">
        <x:v>İstanbul</x:v>
      </x:c>
      <x:c r="B85" s="47" t="n">
        <x:v>2</x:v>
      </x:c>
      <x:c r="C85" s="47" t="str">
        <x:v>Ortalama satılık konut alanı</x:v>
      </x:c>
      <x:c r="D85" s="47" t="str">
        <x:v>m²</x:v>
      </x:c>
      <x:c r="E85" s="47" t="n">
        <x:v>2024</x:v>
      </x:c>
      <x:c r="F85" s="47" t="n">
        <x:v>113.95374818456038</x:v>
      </x:c>
      <x:c r="G85" s="47" t="str">
        <x:v>Yıl sonu / rapor dönemi</x:v>
      </x:c>
      <x:c r="H85" s="47" t="str">
        <x:v>Türetilmiş</x:v>
      </x:c>
      <x:c r="I85" s="47" t="str">
        <x:v>S08</x:v>
      </x:c>
      <x:c r="J85" s="47" t="str">
        <x:v>https://www.gayrimenkulhaber.com/guncel/endeksa-2024-yillik-gayrimenkul-deger-raporu-yayimlandi/</x:v>
      </x:c>
      <x:c r="K85" s="48" t="str"/>
    </x:row>
    <x:row r="86">
      <x:c r="A86" s="46" t="str">
        <x:v>İstanbul</x:v>
      </x:c>
      <x:c r="B86" s="47" t="n">
        <x:v>2</x:v>
      </x:c>
      <x:c r="C86" s="47" t="str">
        <x:v>Ortalama satılık konut alanı</x:v>
      </x:c>
      <x:c r="D86" s="47" t="str">
        <x:v>m²</x:v>
      </x:c>
      <x:c r="E86" s="47" t="n">
        <x:v>2025</x:v>
      </x:c>
      <x:c r="F86" s="47" t="n">
        <x:v>114.0408473580537</x:v>
      </x:c>
      <x:c r="G86" s="47" t="str">
        <x:v>Yıl sonu / rapor dönemi</x:v>
      </x:c>
      <x:c r="H86" s="47" t="str">
        <x:v>Türetilmiş</x:v>
      </x:c>
      <x:c r="I86" s="47" t="str">
        <x:v>S09;S16</x:v>
      </x:c>
      <x:c r="J86" s="47" t="str">
        <x:v>https://www.dunya.com/ekonomik-veriler/endeksa-konut-satis-fiyatlari-aralik-ayinda-yuzde-272-artti-haberi-812021 ; https://www.karar.com/ekonomi-haberleri/konut-satislari-ne-durumda-emlakta-en-cok-kazandiran-il-hangisi-2033220</x:v>
      </x:c>
      <x:c r="K86" s="48" t="str"/>
    </x:row>
    <x:row r="87">
      <x:c r="A87" s="46" t="str">
        <x:v>İstanbul</x:v>
      </x:c>
      <x:c r="B87" s="47" t="n">
        <x:v>2</x:v>
      </x:c>
      <x:c r="C87" s="47" t="str">
        <x:v>Ortalama satılık konut alanı</x:v>
      </x:c>
      <x:c r="D87" s="47" t="str">
        <x:v>m²</x:v>
      </x:c>
      <x:c r="E87" s="47" t="n">
        <x:v>2026</x:v>
      </x:c>
      <x:c r="F87" s="47" t="n">
        <x:v>110</x:v>
      </x:c>
      <x:c r="G87" s="47" t="str">
        <x:v>Temmuz 2026 son gözlem</x:v>
      </x:c>
      <x:c r="H87" s="47" t="str">
        <x:v>Türetilmiş</x:v>
      </x:c>
      <x:c r="I87" s="47" t="str">
        <x:v>S11</x:v>
      </x:c>
      <x:c r="J87" s="47" t="str">
        <x:v>https://www.emlakjet.com/emlak-piyasasi/satilik-konut/istanbul</x:v>
      </x:c>
      <x:c r="K87" s="48" t="str"/>
    </x:row>
    <x:row r="88">
      <x:c r="A88" s="46" t="str">
        <x:v>İstanbul</x:v>
      </x:c>
      <x:c r="B88" s="47" t="n">
        <x:v>2</x:v>
      </x:c>
      <x:c r="C88" s="47" t="str">
        <x:v>Ortalama satılık konut alanı</x:v>
      </x:c>
      <x:c r="D88" s="47" t="str">
        <x:v>m²</x:v>
      </x:c>
      <x:c r="E88" s="47" t="n">
        <x:v>2027</x:v>
      </x:c>
      <x:c r="F88" s="47" t="n">
        <x:v>110</x:v>
      </x:c>
      <x:c r="G88" s="47" t="str">
        <x:v>Tahmin</x:v>
      </x:c>
      <x:c r="H88" s="47" t="str">
        <x:v>Tahmin</x:v>
      </x:c>
      <x:c r="I88" s="47" t="str">
        <x:v>S11;S28;S29</x:v>
      </x:c>
      <x:c r="J88" s="47" t="str">
        <x:v>https://www.emlakjet.com/emlak-piyasasi/satilik-konut/istanbul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88" s="48" t="str">
        <x:v>2026 alanı sabit tutulmuştur.</x:v>
      </x:c>
    </x:row>
    <x:row r="89">
      <x:c r="A89" s="46" t="str">
        <x:v>İstanbul</x:v>
      </x:c>
      <x:c r="B89" s="47" t="n">
        <x:v>2</x:v>
      </x:c>
      <x:c r="C89" s="47" t="str">
        <x:v>Ortalama satılık konut alanı</x:v>
      </x:c>
      <x:c r="D89" s="47" t="str">
        <x:v>m²</x:v>
      </x:c>
      <x:c r="E89" s="47" t="n">
        <x:v>2028</x:v>
      </x:c>
      <x:c r="F89" s="47" t="n">
        <x:v>110</x:v>
      </x:c>
      <x:c r="G89" s="47" t="str">
        <x:v>Tahmin</x:v>
      </x:c>
      <x:c r="H89" s="47" t="str">
        <x:v>Tahmin</x:v>
      </x:c>
      <x:c r="I89" s="47" t="str">
        <x:v>S11;S28;S29</x:v>
      </x:c>
      <x:c r="J89" s="47" t="str">
        <x:v>https://www.emlakjet.com/emlak-piyasasi/satilik-konut/istanbul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89" s="48" t="str">
        <x:v>2026 alanı sabit tutulmuştur.</x:v>
      </x:c>
    </x:row>
    <x:row r="90">
      <x:c r="A90" s="46" t="str">
        <x:v>İstanbul</x:v>
      </x:c>
      <x:c r="B90" s="47" t="n">
        <x:v>2</x:v>
      </x:c>
      <x:c r="C90" s="47" t="str">
        <x:v>Ortalama satılık konut alanı</x:v>
      </x:c>
      <x:c r="D90" s="47" t="str">
        <x:v>m²</x:v>
      </x:c>
      <x:c r="E90" s="47" t="n">
        <x:v>2029</x:v>
      </x:c>
      <x:c r="F90" s="47" t="n">
        <x:v>110</x:v>
      </x:c>
      <x:c r="G90" s="47" t="str">
        <x:v>Tahmin</x:v>
      </x:c>
      <x:c r="H90" s="47" t="str">
        <x:v>Tahmin</x:v>
      </x:c>
      <x:c r="I90" s="47" t="str">
        <x:v>S11;S28;S29</x:v>
      </x:c>
      <x:c r="J90" s="47" t="str">
        <x:v>https://www.emlakjet.com/emlak-piyasasi/satilik-konut/istanbul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90" s="48" t="str">
        <x:v>2026 alanı sabit tutulmuştur.</x:v>
      </x:c>
    </x:row>
    <x:row r="91">
      <x:c r="A91" s="46" t="str">
        <x:v>İstanbul</x:v>
      </x:c>
      <x:c r="B91" s="47" t="n">
        <x:v>2</x:v>
      </x:c>
      <x:c r="C91" s="47" t="str">
        <x:v>Ortalama satılık konut alanı</x:v>
      </x:c>
      <x:c r="D91" s="47" t="str">
        <x:v>m²</x:v>
      </x:c>
      <x:c r="E91" s="47" t="n">
        <x:v>2030</x:v>
      </x:c>
      <x:c r="F91" s="47" t="n">
        <x:v>110</x:v>
      </x:c>
      <x:c r="G91" s="47" t="str">
        <x:v>Tahmin</x:v>
      </x:c>
      <x:c r="H91" s="47" t="str">
        <x:v>Tahmin</x:v>
      </x:c>
      <x:c r="I91" s="47" t="str">
        <x:v>S11;S28;S29</x:v>
      </x:c>
      <x:c r="J91" s="47" t="str">
        <x:v>https://www.emlakjet.com/emlak-piyasasi/satilik-konut/istanbul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91" s="48" t="str">
        <x:v>2026 alanı sabit tutulmuştur.</x:v>
      </x:c>
    </x:row>
    <x:row r="92">
      <x:c r="A92" s="46" t="str">
        <x:v>İstanbul</x:v>
      </x:c>
      <x:c r="B92" s="47" t="n">
        <x:v>3</x:v>
      </x:c>
      <x:c r="C92" s="47" t="str">
        <x:v>Ortalama satılık m² fiyatı</x:v>
      </x:c>
      <x:c r="D92" s="47" t="str">
        <x:v>TL/m²</x:v>
      </x:c>
      <x:c r="E92" s="47" t="n">
        <x:v>2022</x:v>
      </x:c>
      <x:c r="F92" s="47" t="n">
        <x:v>23062</x:v>
      </x:c>
      <x:c r="G92" s="47" t="str">
        <x:v>Yıl sonu / rapor dönemi</x:v>
      </x:c>
      <x:c r="H92" s="47" t="str">
        <x:v>Piyasa verisi</x:v>
      </x:c>
      <x:c r="I92" s="47" t="str">
        <x:v>S06</x:v>
      </x:c>
      <x:c r="J92" s="47" t="str">
        <x:v>https://www.emlakdream.com/turkiyede-ortalama-bir-ev-fiyati-1-8-milyon-tlye-yukseldi/</x:v>
      </x:c>
      <x:c r="K92" s="48" t="str"/>
    </x:row>
    <x:row r="93">
      <x:c r="A93" s="46" t="str">
        <x:v>İstanbul</x:v>
      </x:c>
      <x:c r="B93" s="47" t="n">
        <x:v>3</x:v>
      </x:c>
      <x:c r="C93" s="47" t="str">
        <x:v>Ortalama satılık m² fiyatı</x:v>
      </x:c>
      <x:c r="D93" s="47" t="str">
        <x:v>TL/m²</x:v>
      </x:c>
      <x:c r="E93" s="47" t="n">
        <x:v>2023</x:v>
      </x:c>
      <x:c r="F93" s="47" t="n">
        <x:v>36262</x:v>
      </x:c>
      <x:c r="G93" s="47" t="str">
        <x:v>Yıl sonu / rapor dönemi</x:v>
      </x:c>
      <x:c r="H93" s="47" t="str">
        <x:v>Piyasa verisi</x:v>
      </x:c>
      <x:c r="I93" s="47" t="str">
        <x:v>S07</x:v>
      </x:c>
      <x:c r="J93" s="47" t="str">
        <x:v>https://www.gayrimenkulhaber.com/emlak-haberleri/turkiyede-ortalama-konut-fiyati-3-milyon-92-bin-700-tl-oldu/</x:v>
      </x:c>
      <x:c r="K93" s="48" t="str"/>
    </x:row>
    <x:row r="94">
      <x:c r="A94" s="46" t="str">
        <x:v>İstanbul</x:v>
      </x:c>
      <x:c r="B94" s="47" t="n">
        <x:v>3</x:v>
      </x:c>
      <x:c r="C94" s="47" t="str">
        <x:v>Ortalama satılık m² fiyatı</x:v>
      </x:c>
      <x:c r="D94" s="47" t="str">
        <x:v>TL/m²</x:v>
      </x:c>
      <x:c r="E94" s="47" t="n">
        <x:v>2024</x:v>
      </x:c>
      <x:c r="F94" s="47" t="n">
        <x:v>44755</x:v>
      </x:c>
      <x:c r="G94" s="47" t="str">
        <x:v>Yıl sonu / rapor dönemi</x:v>
      </x:c>
      <x:c r="H94" s="47" t="str">
        <x:v>Piyasa verisi</x:v>
      </x:c>
      <x:c r="I94" s="47" t="str">
        <x:v>S08</x:v>
      </x:c>
      <x:c r="J94" s="47" t="str">
        <x:v>https://www.gayrimenkulhaber.com/guncel/endeksa-2024-yillik-gayrimenkul-deger-raporu-yayimlandi/</x:v>
      </x:c>
      <x:c r="K94" s="48" t="str"/>
    </x:row>
    <x:row r="95">
      <x:c r="A95" s="46" t="str">
        <x:v>İstanbul</x:v>
      </x:c>
      <x:c r="B95" s="47" t="n">
        <x:v>3</x:v>
      </x:c>
      <x:c r="C95" s="47" t="str">
        <x:v>Ortalama satılık m² fiyatı</x:v>
      </x:c>
      <x:c r="D95" s="47" t="str">
        <x:v>TL/m²</x:v>
      </x:c>
      <x:c r="E95" s="47" t="n">
        <x:v>2025</x:v>
      </x:c>
      <x:c r="F95" s="47" t="n">
        <x:v>57874</x:v>
      </x:c>
      <x:c r="G95" s="47" t="str">
        <x:v>Yıl sonu / rapor dönemi</x:v>
      </x:c>
      <x:c r="H95" s="47" t="str">
        <x:v>Piyasa verisi</x:v>
      </x:c>
      <x:c r="I95" s="47" t="str">
        <x:v>S09;S16</x:v>
      </x:c>
      <x:c r="J95" s="47" t="str">
        <x:v>https://www.dunya.com/ekonomik-veriler/endeksa-konut-satis-fiyatlari-aralik-ayinda-yuzde-272-artti-haberi-812021 ; https://www.karar.com/ekonomi-haberleri/konut-satislari-ne-durumda-emlakta-en-cok-kazandiran-il-hangisi-2033220</x:v>
      </x:c>
      <x:c r="K95" s="48" t="str"/>
    </x:row>
    <x:row r="96">
      <x:c r="A96" s="46" t="str">
        <x:v>İstanbul</x:v>
      </x:c>
      <x:c r="B96" s="47" t="n">
        <x:v>3</x:v>
      </x:c>
      <x:c r="C96" s="47" t="str">
        <x:v>Ortalama satılık m² fiyatı</x:v>
      </x:c>
      <x:c r="D96" s="47" t="str">
        <x:v>TL/m²</x:v>
      </x:c>
      <x:c r="E96" s="47" t="n">
        <x:v>2026</x:v>
      </x:c>
      <x:c r="F96" s="47" t="n">
        <x:v>65078</x:v>
      </x:c>
      <x:c r="G96" s="47" t="str">
        <x:v>Temmuz 2026 son gözlem</x:v>
      </x:c>
      <x:c r="H96" s="47" t="str">
        <x:v>Son piyasa gözlemi</x:v>
      </x:c>
      <x:c r="I96" s="47" t="str">
        <x:v>S11</x:v>
      </x:c>
      <x:c r="J96" s="47" t="str">
        <x:v>https://www.emlakjet.com/emlak-piyasasi/satilik-konut/istanbul</x:v>
      </x:c>
      <x:c r="K96" s="48" t="str"/>
    </x:row>
    <x:row r="97">
      <x:c r="A97" s="46" t="str">
        <x:v>İstanbul</x:v>
      </x:c>
      <x:c r="B97" s="47" t="n">
        <x:v>3</x:v>
      </x:c>
      <x:c r="C97" s="47" t="str">
        <x:v>Ortalama satılık m² fiyatı</x:v>
      </x:c>
      <x:c r="D97" s="47" t="str">
        <x:v>TL/m²</x:v>
      </x:c>
      <x:c r="E97" s="47" t="n">
        <x:v>2027</x:v>
      </x:c>
      <x:c r="F97" s="47" t="n">
        <x:v>74839.7</x:v>
      </x:c>
      <x:c r="G97" s="47" t="str">
        <x:v>Tahmin</x:v>
      </x:c>
      <x:c r="H97" s="47" t="str">
        <x:v>Tahmin</x:v>
      </x:c>
      <x:c r="I97" s="47" t="str">
        <x:v>S11;S28;S29</x:v>
      </x:c>
      <x:c r="J97" s="47" t="str">
        <x:v>https://www.emlakjet.com/emlak-piyasasi/satilik-konut/istanbul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97" s="48" t="str">
        <x:v>Nominal fiyat patikası: 2027 %15, 2028 %9, 2029 %6, 2030 %5.</x:v>
      </x:c>
    </x:row>
    <x:row r="98">
      <x:c r="A98" s="46" t="str">
        <x:v>İstanbul</x:v>
      </x:c>
      <x:c r="B98" s="47" t="n">
        <x:v>3</x:v>
      </x:c>
      <x:c r="C98" s="47" t="str">
        <x:v>Ortalama satılık m² fiyatı</x:v>
      </x:c>
      <x:c r="D98" s="47" t="str">
        <x:v>TL/m²</x:v>
      </x:c>
      <x:c r="E98" s="47" t="n">
        <x:v>2028</x:v>
      </x:c>
      <x:c r="F98" s="47" t="n">
        <x:v>81575.273</x:v>
      </x:c>
      <x:c r="G98" s="47" t="str">
        <x:v>Tahmin</x:v>
      </x:c>
      <x:c r="H98" s="47" t="str">
        <x:v>Tahmin</x:v>
      </x:c>
      <x:c r="I98" s="47" t="str">
        <x:v>S11;S28;S29</x:v>
      </x:c>
      <x:c r="J98" s="47" t="str">
        <x:v>https://www.emlakjet.com/emlak-piyasasi/satilik-konut/istanbul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98" s="48" t="str">
        <x:v>Nominal fiyat patikası: 2027 %15, 2028 %9, 2029 %6, 2030 %5.</x:v>
      </x:c>
    </x:row>
    <x:row r="99">
      <x:c r="A99" s="46" t="str">
        <x:v>İstanbul</x:v>
      </x:c>
      <x:c r="B99" s="47" t="n">
        <x:v>3</x:v>
      </x:c>
      <x:c r="C99" s="47" t="str">
        <x:v>Ortalama satılık m² fiyatı</x:v>
      </x:c>
      <x:c r="D99" s="47" t="str">
        <x:v>TL/m²</x:v>
      </x:c>
      <x:c r="E99" s="47" t="n">
        <x:v>2029</x:v>
      </x:c>
      <x:c r="F99" s="47" t="n">
        <x:v>86469.78938</x:v>
      </x:c>
      <x:c r="G99" s="47" t="str">
        <x:v>Tahmin</x:v>
      </x:c>
      <x:c r="H99" s="47" t="str">
        <x:v>Tahmin</x:v>
      </x:c>
      <x:c r="I99" s="47" t="str">
        <x:v>S11;S28;S29</x:v>
      </x:c>
      <x:c r="J99" s="47" t="str">
        <x:v>https://www.emlakjet.com/emlak-piyasasi/satilik-konut/istanbul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99" s="48" t="str">
        <x:v>Nominal fiyat patikası: 2027 %15, 2028 %9, 2029 %6, 2030 %5.</x:v>
      </x:c>
    </x:row>
    <x:row r="100">
      <x:c r="A100" s="46" t="str">
        <x:v>İstanbul</x:v>
      </x:c>
      <x:c r="B100" s="47" t="n">
        <x:v>3</x:v>
      </x:c>
      <x:c r="C100" s="47" t="str">
        <x:v>Ortalama satılık m² fiyatı</x:v>
      </x:c>
      <x:c r="D100" s="47" t="str">
        <x:v>TL/m²</x:v>
      </x:c>
      <x:c r="E100" s="47" t="n">
        <x:v>2030</x:v>
      </x:c>
      <x:c r="F100" s="47" t="n">
        <x:v>90793.27884900001</x:v>
      </x:c>
      <x:c r="G100" s="47" t="str">
        <x:v>Tahmin</x:v>
      </x:c>
      <x:c r="H100" s="47" t="str">
        <x:v>Tahmin</x:v>
      </x:c>
      <x:c r="I100" s="47" t="str">
        <x:v>S11;S28;S29</x:v>
      </x:c>
      <x:c r="J100" s="47" t="str">
        <x:v>https://www.emlakjet.com/emlak-piyasasi/satilik-konut/istanbul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00" s="48" t="str">
        <x:v>Nominal fiyat patikası: 2027 %15, 2028 %9, 2029 %6, 2030 %5.</x:v>
      </x:c>
    </x:row>
    <x:row r="101">
      <x:c r="A101" s="46" t="str">
        <x:v>İstanbul</x:v>
      </x:c>
      <x:c r="B101" s="47" t="n">
        <x:v>4</x:v>
      </x:c>
      <x:c r="C101" s="47" t="str">
        <x:v>Ortalama ev fiyatı</x:v>
      </x:c>
      <x:c r="D101" s="47" t="str">
        <x:v>TL</x:v>
      </x:c>
      <x:c r="E101" s="47" t="n">
        <x:v>2022</x:v>
      </x:c>
      <x:c r="F101" s="47" t="n">
        <x:v>2767440</x:v>
      </x:c>
      <x:c r="G101" s="47" t="str">
        <x:v>Yıl sonu / rapor dönemi</x:v>
      </x:c>
      <x:c r="H101" s="47" t="str">
        <x:v>Piyasa verisi</x:v>
      </x:c>
      <x:c r="I101" s="47" t="str">
        <x:v>S06</x:v>
      </x:c>
      <x:c r="J101" s="47" t="str">
        <x:v>https://www.emlakdream.com/turkiyede-ortalama-bir-ev-fiyati-1-8-milyon-tlye-yukseldi/</x:v>
      </x:c>
      <x:c r="K101" s="48" t="str"/>
    </x:row>
    <x:row r="102">
      <x:c r="A102" s="46" t="str">
        <x:v>İstanbul</x:v>
      </x:c>
      <x:c r="B102" s="47" t="n">
        <x:v>4</x:v>
      </x:c>
      <x:c r="C102" s="47" t="str">
        <x:v>Ortalama ev fiyatı</x:v>
      </x:c>
      <x:c r="D102" s="47" t="str">
        <x:v>TL</x:v>
      </x:c>
      <x:c r="E102" s="47" t="n">
        <x:v>2023</x:v>
      </x:c>
      <x:c r="F102" s="47" t="n">
        <x:v>4170130</x:v>
      </x:c>
      <x:c r="G102" s="47" t="str">
        <x:v>Yıl sonu / rapor dönemi</x:v>
      </x:c>
      <x:c r="H102" s="47" t="str">
        <x:v>Piyasa verisi</x:v>
      </x:c>
      <x:c r="I102" s="47" t="str">
        <x:v>S07</x:v>
      </x:c>
      <x:c r="J102" s="47" t="str">
        <x:v>https://www.gayrimenkulhaber.com/emlak-haberleri/turkiyede-ortalama-konut-fiyati-3-milyon-92-bin-700-tl-oldu/</x:v>
      </x:c>
      <x:c r="K102" s="48" t="str"/>
    </x:row>
    <x:row r="103">
      <x:c r="A103" s="46" t="str">
        <x:v>İstanbul</x:v>
      </x:c>
      <x:c r="B103" s="47" t="n">
        <x:v>4</x:v>
      </x:c>
      <x:c r="C103" s="47" t="str">
        <x:v>Ortalama ev fiyatı</x:v>
      </x:c>
      <x:c r="D103" s="47" t="str">
        <x:v>TL</x:v>
      </x:c>
      <x:c r="E103" s="47" t="n">
        <x:v>2024</x:v>
      </x:c>
      <x:c r="F103" s="47" t="n">
        <x:v>5100000</x:v>
      </x:c>
      <x:c r="G103" s="47" t="str">
        <x:v>Yıl sonu / rapor dönemi</x:v>
      </x:c>
      <x:c r="H103" s="47" t="str">
        <x:v>Piyasa verisi</x:v>
      </x:c>
      <x:c r="I103" s="47" t="str">
        <x:v>S08</x:v>
      </x:c>
      <x:c r="J103" s="47" t="str">
        <x:v>https://www.gayrimenkulhaber.com/guncel/endeksa-2024-yillik-gayrimenkul-deger-raporu-yayimlandi/</x:v>
      </x:c>
      <x:c r="K103" s="48" t="str"/>
    </x:row>
    <x:row r="104">
      <x:c r="A104" s="46" t="str">
        <x:v>İstanbul</x:v>
      </x:c>
      <x:c r="B104" s="47" t="n">
        <x:v>4</x:v>
      </x:c>
      <x:c r="C104" s="47" t="str">
        <x:v>Ortalama ev fiyatı</x:v>
      </x:c>
      <x:c r="D104" s="47" t="str">
        <x:v>TL</x:v>
      </x:c>
      <x:c r="E104" s="47" t="n">
        <x:v>2025</x:v>
      </x:c>
      <x:c r="F104" s="47" t="n">
        <x:v>6600000</x:v>
      </x:c>
      <x:c r="G104" s="47" t="str">
        <x:v>Yıl sonu / rapor dönemi</x:v>
      </x:c>
      <x:c r="H104" s="47" t="str">
        <x:v>Piyasa verisi</x:v>
      </x:c>
      <x:c r="I104" s="47" t="str">
        <x:v>S09;S16</x:v>
      </x:c>
      <x:c r="J104" s="47" t="str">
        <x:v>https://www.dunya.com/ekonomik-veriler/endeksa-konut-satis-fiyatlari-aralik-ayinda-yuzde-272-artti-haberi-812021 ; https://www.karar.com/ekonomi-haberleri/konut-satislari-ne-durumda-emlakta-en-cok-kazandiran-il-hangisi-2033220</x:v>
      </x:c>
      <x:c r="K104" s="48" t="str"/>
    </x:row>
    <x:row r="105">
      <x:c r="A105" s="46" t="str">
        <x:v>İstanbul</x:v>
      </x:c>
      <x:c r="B105" s="47" t="n">
        <x:v>4</x:v>
      </x:c>
      <x:c r="C105" s="47" t="str">
        <x:v>Ortalama ev fiyatı</x:v>
      </x:c>
      <x:c r="D105" s="47" t="str">
        <x:v>TL</x:v>
      </x:c>
      <x:c r="E105" s="47" t="n">
        <x:v>2026</x:v>
      </x:c>
      <x:c r="F105" s="47" t="n">
        <x:v>7158580</x:v>
      </x:c>
      <x:c r="G105" s="47" t="str">
        <x:v>Temmuz 2026 son gözlem</x:v>
      </x:c>
      <x:c r="H105" s="47" t="str">
        <x:v>Son piyasa gözlemi</x:v>
      </x:c>
      <x:c r="I105" s="47" t="str">
        <x:v>S11</x:v>
      </x:c>
      <x:c r="J105" s="47" t="str">
        <x:v>https://www.emlakjet.com/emlak-piyasasi/satilik-konut/istanbul</x:v>
      </x:c>
      <x:c r="K105" s="48" t="str"/>
    </x:row>
    <x:row r="106">
      <x:c r="A106" s="46" t="str">
        <x:v>İstanbul</x:v>
      </x:c>
      <x:c r="B106" s="47" t="n">
        <x:v>4</x:v>
      </x:c>
      <x:c r="C106" s="47" t="str">
        <x:v>Ortalama ev fiyatı</x:v>
      </x:c>
      <x:c r="D106" s="47" t="str">
        <x:v>TL</x:v>
      </x:c>
      <x:c r="E106" s="47" t="n">
        <x:v>2027</x:v>
      </x:c>
      <x:c r="F106" s="47" t="n">
        <x:v>8232367</x:v>
      </x:c>
      <x:c r="G106" s="47" t="str">
        <x:v>Tahmin</x:v>
      </x:c>
      <x:c r="H106" s="47" t="str">
        <x:v>Tahmin</x:v>
      </x:c>
      <x:c r="I106" s="47" t="str">
        <x:v>S11;S28;S29</x:v>
      </x:c>
      <x:c r="J106" s="47" t="str">
        <x:v>https://www.emlakjet.com/emlak-piyasasi/satilik-konut/istanbul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06" s="48" t="str"/>
    </x:row>
    <x:row r="107">
      <x:c r="A107" s="46" t="str">
        <x:v>İstanbul</x:v>
      </x:c>
      <x:c r="B107" s="47" t="n">
        <x:v>4</x:v>
      </x:c>
      <x:c r="C107" s="47" t="str">
        <x:v>Ortalama ev fiyatı</x:v>
      </x:c>
      <x:c r="D107" s="47" t="str">
        <x:v>TL</x:v>
      </x:c>
      <x:c r="E107" s="47" t="n">
        <x:v>2028</x:v>
      </x:c>
      <x:c r="F107" s="47" t="n">
        <x:v>8973280.03</x:v>
      </x:c>
      <x:c r="G107" s="47" t="str">
        <x:v>Tahmin</x:v>
      </x:c>
      <x:c r="H107" s="47" t="str">
        <x:v>Tahmin</x:v>
      </x:c>
      <x:c r="I107" s="47" t="str">
        <x:v>S11;S28;S29</x:v>
      </x:c>
      <x:c r="J107" s="47" t="str">
        <x:v>https://www.emlakjet.com/emlak-piyasasi/satilik-konut/istanbul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07" s="48" t="str"/>
    </x:row>
    <x:row r="108">
      <x:c r="A108" s="46" t="str">
        <x:v>İstanbul</x:v>
      </x:c>
      <x:c r="B108" s="47" t="n">
        <x:v>4</x:v>
      </x:c>
      <x:c r="C108" s="47" t="str">
        <x:v>Ortalama ev fiyatı</x:v>
      </x:c>
      <x:c r="D108" s="47" t="str">
        <x:v>TL</x:v>
      </x:c>
      <x:c r="E108" s="47" t="n">
        <x:v>2029</x:v>
      </x:c>
      <x:c r="F108" s="47" t="n">
        <x:v>9511676.8318</x:v>
      </x:c>
      <x:c r="G108" s="47" t="str">
        <x:v>Tahmin</x:v>
      </x:c>
      <x:c r="H108" s="47" t="str">
        <x:v>Tahmin</x:v>
      </x:c>
      <x:c r="I108" s="47" t="str">
        <x:v>S11;S28;S29</x:v>
      </x:c>
      <x:c r="J108" s="47" t="str">
        <x:v>https://www.emlakjet.com/emlak-piyasasi/satilik-konut/istanbul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08" s="48" t="str"/>
    </x:row>
    <x:row r="109">
      <x:c r="A109" s="46" t="str">
        <x:v>İstanbul</x:v>
      </x:c>
      <x:c r="B109" s="47" t="n">
        <x:v>4</x:v>
      </x:c>
      <x:c r="C109" s="47" t="str">
        <x:v>Ortalama ev fiyatı</x:v>
      </x:c>
      <x:c r="D109" s="47" t="str">
        <x:v>TL</x:v>
      </x:c>
      <x:c r="E109" s="47" t="n">
        <x:v>2030</x:v>
      </x:c>
      <x:c r="F109" s="47" t="n">
        <x:v>9987260.673390001</x:v>
      </x:c>
      <x:c r="G109" s="47" t="str">
        <x:v>Tahmin</x:v>
      </x:c>
      <x:c r="H109" s="47" t="str">
        <x:v>Tahmin</x:v>
      </x:c>
      <x:c r="I109" s="47" t="str">
        <x:v>S11;S28;S29</x:v>
      </x:c>
      <x:c r="J109" s="47" t="str">
        <x:v>https://www.emlakjet.com/emlak-piyasasi/satilik-konut/istanbul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09" s="48" t="str"/>
    </x:row>
    <x:row r="110">
      <x:c r="A110" s="46" t="str">
        <x:v>İstanbul</x:v>
      </x:c>
      <x:c r="B110" s="47" t="n">
        <x:v>5</x:v>
      </x:c>
      <x:c r="C110" s="47" t="str">
        <x:v>Kiralanan ev sayısı (platform proxy)</x:v>
      </x:c>
      <x:c r="D110" s="47" t="str">
        <x:v>adet/yıl</x:v>
      </x:c>
      <x:c r="E110" s="47" t="n">
        <x:v>2022</x:v>
      </x:c>
      <x:c r="F110" s="47" t="n">
        <x:v>140944.608</x:v>
      </x:c>
      <x:c r="G110" s="47" t="str">
        <x:v>Tam yıl</x:v>
      </x:c>
      <x:c r="H110" s="47" t="str">
        <x:v>Platform proxy / yıllıklandırılmış</x:v>
      </x:c>
      <x:c r="I110" s="47" t="str">
        <x:v>S26</x:v>
      </x:c>
      <x:c r="J110" s="47" t="str">
        <x:v>https://www.dunya.com/sektorler/emlak/satilik-konut-fiyatlarindaki-artis-hizi-dusmeye-devam-ediyor-haberi-683075</x:v>
      </x:c>
      <x:c r="K110" s="48" t="str">
        <x:v>Resmî kira sözleşmesi adedi değildir; sahibindex/BETAM platform göstergesi yıllık proxy.</x:v>
      </x:c>
    </x:row>
    <x:row r="111">
      <x:c r="A111" s="46" t="str">
        <x:v>İstanbul</x:v>
      </x:c>
      <x:c r="B111" s="47" t="n">
        <x:v>5</x:v>
      </x:c>
      <x:c r="C111" s="47" t="str">
        <x:v>Kiralanan ev sayısı (platform proxy)</x:v>
      </x:c>
      <x:c r="D111" s="47" t="str">
        <x:v>adet/yıl</x:v>
      </x:c>
      <x:c r="E111" s="47" t="n">
        <x:v>2023</x:v>
      </x:c>
      <x:c r="F111" s="47" t="n">
        <x:v>155616</x:v>
      </x:c>
      <x:c r="G111" s="47" t="str">
        <x:v>Tam yıl</x:v>
      </x:c>
      <x:c r="H111" s="47" t="str">
        <x:v>Platform proxy / yıllıklandırılmış</x:v>
      </x:c>
      <x:c r="I111" s="47" t="str">
        <x:v>S27</x:v>
      </x:c>
      <x:c r="J111" s="47" t="str">
        <x:v>https://image5.sahibinden.com/staticContent/969bb478/2309/451b/af82/d321e8a0a74d/1706003743.pdf</x:v>
      </x:c>
      <x:c r="K111" s="48" t="str">
        <x:v>Resmî kira sözleşmesi adedi değildir; sahibindex/BETAM platform göstergesi yıllık proxy.</x:v>
      </x:c>
    </x:row>
    <x:row r="112">
      <x:c r="A112" s="46" t="str">
        <x:v>İstanbul</x:v>
      </x:c>
      <x:c r="B112" s="47" t="n">
        <x:v>5</x:v>
      </x:c>
      <x:c r="C112" s="47" t="str">
        <x:v>Kiralanan ev sayısı (platform proxy)</x:v>
      </x:c>
      <x:c r="D112" s="47" t="str">
        <x:v>adet/yıl</x:v>
      </x:c>
      <x:c r="E112" s="47" t="n">
        <x:v>2024</x:v>
      </x:c>
      <x:c r="F112" s="47" t="n">
        <x:v>160284.48</x:v>
      </x:c>
      <x:c r="G112" s="47" t="str">
        <x:v>Tam yıl</x:v>
      </x:c>
      <x:c r="H112" s="47" t="str">
        <x:v>Model/Proxy</x:v>
      </x:c>
      <x:c r="I112" s="47" t="str">
        <x:v>S27;Model</x:v>
      </x:c>
      <x:c r="J112" s="47" t="str">
        <x:v>https://image5.sahibinden.com/staticContent/969bb478/2309/451b/af82/d321e8a0a74d/1706003743.pdf</x:v>
      </x:c>
      <x:c r="K112" s="48" t="str">
        <x:v>Resmî kira sözleşmesi adedi değildir; sahibindex/BETAM platform göstergesi yıllık proxy.</x:v>
      </x:c>
    </x:row>
    <x:row r="113">
      <x:c r="A113" s="46" t="str">
        <x:v>İstanbul</x:v>
      </x:c>
      <x:c r="B113" s="47" t="n">
        <x:v>5</x:v>
      </x:c>
      <x:c r="C113" s="47" t="str">
        <x:v>Kiralanan ev sayısı (platform proxy)</x:v>
      </x:c>
      <x:c r="D113" s="47" t="str">
        <x:v>adet/yıl</x:v>
      </x:c>
      <x:c r="E113" s="47" t="n">
        <x:v>2025</x:v>
      </x:c>
      <x:c r="F113" s="47" t="n">
        <x:v>165093.01440000001</x:v>
      </x:c>
      <x:c r="G113" s="47" t="str">
        <x:v>Tam yıl</x:v>
      </x:c>
      <x:c r="H113" s="47" t="str">
        <x:v>Model/Proxy</x:v>
      </x:c>
      <x:c r="I113" s="47" t="str">
        <x:v>S27;Model</x:v>
      </x:c>
      <x:c r="J113" s="47" t="str">
        <x:v>https://image5.sahibinden.com/staticContent/969bb478/2309/451b/af82/d321e8a0a74d/1706003743.pdf</x:v>
      </x:c>
      <x:c r="K113" s="48" t="str">
        <x:v>Resmî kira sözleşmesi adedi değildir; sahibindex/BETAM platform göstergesi yıllık proxy.</x:v>
      </x:c>
    </x:row>
    <x:row r="114">
      <x:c r="A114" s="46" t="str">
        <x:v>İstanbul</x:v>
      </x:c>
      <x:c r="B114" s="47" t="n">
        <x:v>5</x:v>
      </x:c>
      <x:c r="C114" s="47" t="str">
        <x:v>Kiralanan ev sayısı (platform proxy)</x:v>
      </x:c>
      <x:c r="D114" s="47" t="str">
        <x:v>adet/yıl</x:v>
      </x:c>
      <x:c r="E114" s="47" t="n">
        <x:v>2026</x:v>
      </x:c>
      <x:c r="F114" s="47" t="n">
        <x:v>170045.80483200002</x:v>
      </x:c>
      <x:c r="G114" s="47" t="str">
        <x:v>2026E</x:v>
      </x:c>
      <x:c r="H114" s="47" t="str">
        <x:v>Model/Proxy</x:v>
      </x:c>
      <x:c r="I114" s="47" t="str">
        <x:v>S27;Model</x:v>
      </x:c>
      <x:c r="J114" s="47" t="str">
        <x:v>https://image5.sahibinden.com/staticContent/969bb478/2309/451b/af82/d321e8a0a74d/1706003743.pdf</x:v>
      </x:c>
      <x:c r="K114" s="48" t="str">
        <x:v>Resmî kira sözleşmesi adedi değildir; sahibindex/BETAM platform göstergesi yıllık proxy.</x:v>
      </x:c>
    </x:row>
    <x:row r="115">
      <x:c r="A115" s="46" t="str">
        <x:v>İstanbul</x:v>
      </x:c>
      <x:c r="B115" s="47" t="n">
        <x:v>5</x:v>
      </x:c>
      <x:c r="C115" s="47" t="str">
        <x:v>Kiralanan ev sayısı (platform proxy)</x:v>
      </x:c>
      <x:c r="D115" s="47" t="str">
        <x:v>adet/yıl</x:v>
      </x:c>
      <x:c r="E115" s="47" t="n">
        <x:v>2027</x:v>
      </x:c>
      <x:c r="F115" s="47" t="n">
        <x:v>175831.07201220206</x:v>
      </x:c>
      <x:c r="G115" s="47" t="str">
        <x:v>Tahmin</x:v>
      </x:c>
      <x:c r="H115" s="47" t="str">
        <x:v>Tahmin</x:v>
      </x:c>
      <x:c r="I115" s="47" t="str">
        <x:v>S27;S28;S29;Model</x:v>
      </x:c>
      <x:c r="J115" s="47" t="str">
        <x:v>https://image5.sahibinden.com/staticContent/969bb478/2309/451b/af82/d321e8a0a74d/1706003743.pdf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15" s="48" t="str">
        <x:v>Resmî kira sözleşmesi adedi değildir; sahibindex/BETAM platform göstergesi yıllık proxy.</x:v>
      </x:c>
    </x:row>
    <x:row r="116">
      <x:c r="A116" s="46" t="str">
        <x:v>İstanbul</x:v>
      </x:c>
      <x:c r="B116" s="47" t="n">
        <x:v>5</x:v>
      </x:c>
      <x:c r="C116" s="47" t="str">
        <x:v>Kiralanan ev sayısı (platform proxy)</x:v>
      </x:c>
      <x:c r="D116" s="47" t="str">
        <x:v>adet/yıl</x:v>
      </x:c>
      <x:c r="E116" s="47" t="n">
        <x:v>2028</x:v>
      </x:c>
      <x:c r="F116" s="47" t="n">
        <x:v>181073.5231795791</x:v>
      </x:c>
      <x:c r="G116" s="47" t="str">
        <x:v>Tahmin</x:v>
      </x:c>
      <x:c r="H116" s="47" t="str">
        <x:v>Tahmin</x:v>
      </x:c>
      <x:c r="I116" s="47" t="str">
        <x:v>S27;S28;S29;Model</x:v>
      </x:c>
      <x:c r="J116" s="47" t="str">
        <x:v>https://image5.sahibinden.com/staticContent/969bb478/2309/451b/af82/d321e8a0a74d/1706003743.pdf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16" s="48" t="str">
        <x:v>Resmî kira sözleşmesi adedi değildir; sahibindex/BETAM platform göstergesi yıllık proxy.</x:v>
      </x:c>
    </x:row>
    <x:row r="117">
      <x:c r="A117" s="46" t="str">
        <x:v>İstanbul</x:v>
      </x:c>
      <x:c r="B117" s="47" t="n">
        <x:v>5</x:v>
      </x:c>
      <x:c r="C117" s="47" t="str">
        <x:v>Kiralanan ev sayısı (platform proxy)</x:v>
      </x:c>
      <x:c r="D117" s="47" t="str">
        <x:v>adet/yıl</x:v>
      </x:c>
      <x:c r="E117" s="47" t="n">
        <x:v>2029</x:v>
      </x:c>
      <x:c r="F117" s="47" t="n">
        <x:v>185710.58553413014</x:v>
      </x:c>
      <x:c r="G117" s="47" t="str">
        <x:v>Tahmin</x:v>
      </x:c>
      <x:c r="H117" s="47" t="str">
        <x:v>Tahmin</x:v>
      </x:c>
      <x:c r="I117" s="47" t="str">
        <x:v>S27;S28;S29;Model</x:v>
      </x:c>
      <x:c r="J117" s="47" t="str">
        <x:v>https://image5.sahibinden.com/staticContent/969bb478/2309/451b/af82/d321e8a0a74d/1706003743.pdf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17" s="48" t="str">
        <x:v>Resmî kira sözleşmesi adedi değildir; sahibindex/BETAM platform göstergesi yıllık proxy.</x:v>
      </x:c>
    </x:row>
    <x:row r="118">
      <x:c r="A118" s="46" t="str">
        <x:v>İstanbul</x:v>
      </x:c>
      <x:c r="B118" s="47" t="n">
        <x:v>5</x:v>
      </x:c>
      <x:c r="C118" s="47" t="str">
        <x:v>Kiralanan ev sayısı (platform proxy)</x:v>
      </x:c>
      <x:c r="D118" s="47" t="str">
        <x:v>adet/yıl</x:v>
      </x:c>
      <x:c r="E118" s="47" t="n">
        <x:v>2030</x:v>
      </x:c>
      <x:c r="F118" s="47" t="n">
        <x:v>189424.79724481274</x:v>
      </x:c>
      <x:c r="G118" s="47" t="str">
        <x:v>Tahmin</x:v>
      </x:c>
      <x:c r="H118" s="47" t="str">
        <x:v>Tahmin</x:v>
      </x:c>
      <x:c r="I118" s="47" t="str">
        <x:v>S27;S28;S29;Model</x:v>
      </x:c>
      <x:c r="J118" s="47" t="str">
        <x:v>https://image5.sahibinden.com/staticContent/969bb478/2309/451b/af82/d321e8a0a74d/1706003743.pdf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18" s="48" t="str">
        <x:v>Resmî kira sözleşmesi adedi değildir; sahibindex/BETAM platform göstergesi yıllık proxy.</x:v>
      </x:c>
    </x:row>
    <x:row r="119">
      <x:c r="A119" s="46" t="str">
        <x:v>İstanbul</x:v>
      </x:c>
      <x:c r="B119" s="47" t="n">
        <x:v>6</x:v>
      </x:c>
      <x:c r="C119" s="47" t="str">
        <x:v>Ortalama kiralanan alan (ima edilen)</x:v>
      </x:c>
      <x:c r="D119" s="47" t="str">
        <x:v>m²</x:v>
      </x:c>
      <x:c r="E119" s="47" t="n">
        <x:v>2022</x:v>
      </x:c>
      <x:c r="F119" s="47" t="n">
        <x:v>98.84269662921348</x:v>
      </x:c>
      <x:c r="G119" s="47" t="str">
        <x:v>Yıl sonu / rapor dönemi</x:v>
      </x:c>
      <x:c r="H119" s="47" t="str">
        <x:v>Türetilmiş</x:v>
      </x:c>
      <x:c r="I119" s="47" t="str">
        <x:v>S14;S21</x:v>
      </x:c>
      <x:c r="J119" s="47" t="str">
        <x:v>https://www.gayrimenkulhaber.com/guncel/endeksa-acikladi-aralik-ayinda-kira-artisi-hiz-kesti-bazi-bolgelerde-dususler-var/ ; https://betam.bahcesehir.edu.tr/2023/01/sahibindex-kiralik-konut-piyasasi-gorunumu-ocak-2023/</x:v>
      </x:c>
      <x:c r="K119" s="48" t="str">
        <x:v>Ortalama kira / kiralık m² fiyatı ile çapraz-kaynak ima edilen alan.</x:v>
      </x:c>
    </x:row>
    <x:row r="120">
      <x:c r="A120" s="46" t="str">
        <x:v>İstanbul</x:v>
      </x:c>
      <x:c r="B120" s="47" t="n">
        <x:v>6</x:v>
      </x:c>
      <x:c r="C120" s="47" t="str">
        <x:v>Ortalama kiralanan alan (ima edilen)</x:v>
      </x:c>
      <x:c r="D120" s="47" t="str">
        <x:v>m²</x:v>
      </x:c>
      <x:c r="E120" s="47" t="n">
        <x:v>2023</x:v>
      </x:c>
      <x:c r="F120" s="47" t="n">
        <x:v>101.52336987882285</x:v>
      </x:c>
      <x:c r="G120" s="47" t="str">
        <x:v>Yıl sonu / rapor dönemi</x:v>
      </x:c>
      <x:c r="H120" s="47" t="str">
        <x:v>Türetilmiş</x:v>
      </x:c>
      <x:c r="I120" s="47" t="str">
        <x:v>S14;S22</x:v>
      </x:c>
      <x:c r="J120" s="47" t="str">
        <x:v>https://www.gayrimenkulhaber.com/guncel/endeksa-acikladi-aralik-ayinda-kira-artisi-hiz-kesti-bazi-bolgelerde-dususler-var/ ; https://betam.bahcesehir.edu.tr/2024/01/sahibindex-kiralik-konut-piyasasi-gorunumu-ocak-2024/</x:v>
      </x:c>
      <x:c r="K120" s="48" t="str">
        <x:v>Ortalama kira / kiralık m² fiyatı ile çapraz-kaynak ima edilen alan.</x:v>
      </x:c>
    </x:row>
    <x:row r="121">
      <x:c r="A121" s="46" t="str">
        <x:v>İstanbul</x:v>
      </x:c>
      <x:c r="B121" s="47" t="n">
        <x:v>6</x:v>
      </x:c>
      <x:c r="C121" s="47" t="str">
        <x:v>Ortalama kiralanan alan (ima edilen)</x:v>
      </x:c>
      <x:c r="D121" s="47" t="str">
        <x:v>m²</x:v>
      </x:c>
      <x:c r="E121" s="47" t="n">
        <x:v>2024</x:v>
      </x:c>
      <x:c r="F121" s="47" t="n">
        <x:v>99.50424425287356</x:v>
      </x:c>
      <x:c r="G121" s="47" t="str">
        <x:v>Yıl sonu / rapor dönemi</x:v>
      </x:c>
      <x:c r="H121" s="47" t="str">
        <x:v>Türetilmiş</x:v>
      </x:c>
      <x:c r="I121" s="47" t="str">
        <x:v>S15;S23</x:v>
      </x:c>
      <x:c r="J121" s="47" t="str">
        <x:v>https://www.gayrimenkulhaber.com/guncel/endeksa-2024-yillik-gayrimenkul-deger-raporu-yayimlandi/ ; https://betam.bahcesehir.edu.tr/2026/01/sahibindex-kiralik-konut-piyasasi-gorunumu-ocak-2026/</x:v>
      </x:c>
      <x:c r="K121" s="48" t="str">
        <x:v>Ortalama kira / kiralık m² fiyatı ile çapraz-kaynak ima edilen alan.</x:v>
      </x:c>
    </x:row>
    <x:row r="122">
      <x:c r="A122" s="46" t="str">
        <x:v>İstanbul</x:v>
      </x:c>
      <x:c r="B122" s="47" t="n">
        <x:v>6</x:v>
      </x:c>
      <x:c r="C122" s="47" t="str">
        <x:v>Ortalama kiralanan alan (ima edilen)</x:v>
      </x:c>
      <x:c r="D122" s="47" t="str">
        <x:v>m²</x:v>
      </x:c>
      <x:c r="E122" s="47" t="n">
        <x:v>2025</x:v>
      </x:c>
      <x:c r="F122" s="47" t="n">
        <x:v>97.19252873563218</x:v>
      </x:c>
      <x:c r="G122" s="47" t="str">
        <x:v>Yıl sonu / rapor dönemi</x:v>
      </x:c>
      <x:c r="H122" s="47" t="str">
        <x:v>Türetilmiş</x:v>
      </x:c>
      <x:c r="I122" s="47" t="str">
        <x:v>S16;S23</x:v>
      </x:c>
      <x:c r="J122" s="47" t="str">
        <x:v>https://www.karar.com/ekonomi-haberleri/konut-satislari-ne-durumda-emlakta-en-cok-kazandiran-il-hangisi-2033220 ; https://betam.bahcesehir.edu.tr/2026/01/sahibindex-kiralik-konut-piyasasi-gorunumu-ocak-2026/</x:v>
      </x:c>
      <x:c r="K122" s="48" t="str">
        <x:v>Ortalama kira / kiralık m² fiyatı ile çapraz-kaynak ima edilen alan.</x:v>
      </x:c>
    </x:row>
    <x:row r="123">
      <x:c r="A123" s="46" t="str">
        <x:v>İstanbul</x:v>
      </x:c>
      <x:c r="B123" s="47" t="n">
        <x:v>6</x:v>
      </x:c>
      <x:c r="C123" s="47" t="str">
        <x:v>Ortalama kiralanan alan (ima edilen)</x:v>
      </x:c>
      <x:c r="D123" s="47" t="str">
        <x:v>m²</x:v>
      </x:c>
      <x:c r="E123" s="47" t="n">
        <x:v>2026</x:v>
      </x:c>
      <x:c r="F123" s="47" t="n">
        <x:v>97.72617743702081</x:v>
      </x:c>
      <x:c r="G123" s="47" t="str">
        <x:v>Temmuz 2026 son gözlem</x:v>
      </x:c>
      <x:c r="H123" s="47" t="str">
        <x:v>Türetilmiş</x:v>
      </x:c>
      <x:c r="I123" s="47" t="str">
        <x:v>S18;S24</x:v>
      </x:c>
      <x:c r="J123" s="47" t="str">
        <x:v>https://www.emlakjet.com/satilik-konut/istanbul ; https://www.cnbce.com/gayrimenkul/konut-piyasasinda-temmuz-hareketliligi-kiralikta-talep-artti-kiralar-reel-olarak-dustu-g36014</x:v>
      </x:c>
      <x:c r="K123" s="48" t="str">
        <x:v>Ortalama kira / kiralık m² fiyatı ile çapraz-kaynak ima edilen alan.</x:v>
      </x:c>
    </x:row>
    <x:row r="124">
      <x:c r="A124" s="46" t="str">
        <x:v>İstanbul</x:v>
      </x:c>
      <x:c r="B124" s="47" t="n">
        <x:v>6</x:v>
      </x:c>
      <x:c r="C124" s="47" t="str">
        <x:v>Ortalama kiralanan alan (ima edilen)</x:v>
      </x:c>
      <x:c r="D124" s="47" t="str">
        <x:v>m²</x:v>
      </x:c>
      <x:c r="E124" s="47" t="n">
        <x:v>2027</x:v>
      </x:c>
      <x:c r="F124" s="47" t="n">
        <x:v>97.72617743702081</x:v>
      </x:c>
      <x:c r="G124" s="47" t="str">
        <x:v>Tahmin</x:v>
      </x:c>
      <x:c r="H124" s="47" t="str">
        <x:v>Tahmin</x:v>
      </x:c>
      <x:c r="I124" s="47" t="str">
        <x:v>S18;S24;S28;S29;S24;S28;S29</x:v>
      </x:c>
      <x:c r="J124" s="47" t="str">
        <x:v>https://www.emlakjet.com/satilik-konut/istanbul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24" s="48" t="str">
        <x:v>Ortalama kira / kiralık m² fiyatı ile çapraz-kaynak ima edilen alan.</x:v>
      </x:c>
    </x:row>
    <x:row r="125">
      <x:c r="A125" s="46" t="str">
        <x:v>İstanbul</x:v>
      </x:c>
      <x:c r="B125" s="47" t="n">
        <x:v>6</x:v>
      </x:c>
      <x:c r="C125" s="47" t="str">
        <x:v>Ortalama kiralanan alan (ima edilen)</x:v>
      </x:c>
      <x:c r="D125" s="47" t="str">
        <x:v>m²</x:v>
      </x:c>
      <x:c r="E125" s="47" t="n">
        <x:v>2028</x:v>
      </x:c>
      <x:c r="F125" s="47" t="n">
        <x:v>97.72617743702081</x:v>
      </x:c>
      <x:c r="G125" s="47" t="str">
        <x:v>Tahmin</x:v>
      </x:c>
      <x:c r="H125" s="47" t="str">
        <x:v>Tahmin</x:v>
      </x:c>
      <x:c r="I125" s="47" t="str">
        <x:v>S18;S24;S28;S29;S24;S28;S29</x:v>
      </x:c>
      <x:c r="J125" s="47" t="str">
        <x:v>https://www.emlakjet.com/satilik-konut/istanbul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25" s="48" t="str">
        <x:v>Ortalama kira / kiralık m² fiyatı ile çapraz-kaynak ima edilen alan.</x:v>
      </x:c>
    </x:row>
    <x:row r="126">
      <x:c r="A126" s="46" t="str">
        <x:v>İstanbul</x:v>
      </x:c>
      <x:c r="B126" s="47" t="n">
        <x:v>6</x:v>
      </x:c>
      <x:c r="C126" s="47" t="str">
        <x:v>Ortalama kiralanan alan (ima edilen)</x:v>
      </x:c>
      <x:c r="D126" s="47" t="str">
        <x:v>m²</x:v>
      </x:c>
      <x:c r="E126" s="47" t="n">
        <x:v>2029</x:v>
      </x:c>
      <x:c r="F126" s="47" t="n">
        <x:v>97.72617743702081</x:v>
      </x:c>
      <x:c r="G126" s="47" t="str">
        <x:v>Tahmin</x:v>
      </x:c>
      <x:c r="H126" s="47" t="str">
        <x:v>Tahmin</x:v>
      </x:c>
      <x:c r="I126" s="47" t="str">
        <x:v>S18;S24;S28;S29;S24;S28;S29</x:v>
      </x:c>
      <x:c r="J126" s="47" t="str">
        <x:v>https://www.emlakjet.com/satilik-konut/istanbul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26" s="48" t="str">
        <x:v>Ortalama kira / kiralık m² fiyatı ile çapraz-kaynak ima edilen alan.</x:v>
      </x:c>
    </x:row>
    <x:row r="127">
      <x:c r="A127" s="46" t="str">
        <x:v>İstanbul</x:v>
      </x:c>
      <x:c r="B127" s="47" t="n">
        <x:v>6</x:v>
      </x:c>
      <x:c r="C127" s="47" t="str">
        <x:v>Ortalama kiralanan alan (ima edilen)</x:v>
      </x:c>
      <x:c r="D127" s="47" t="str">
        <x:v>m²</x:v>
      </x:c>
      <x:c r="E127" s="47" t="n">
        <x:v>2030</x:v>
      </x:c>
      <x:c r="F127" s="47" t="n">
        <x:v>97.72617743702081</x:v>
      </x:c>
      <x:c r="G127" s="47" t="str">
        <x:v>Tahmin</x:v>
      </x:c>
      <x:c r="H127" s="47" t="str">
        <x:v>Tahmin</x:v>
      </x:c>
      <x:c r="I127" s="47" t="str">
        <x:v>S18;S24;S28;S29;S24;S28;S29</x:v>
      </x:c>
      <x:c r="J127" s="47" t="str">
        <x:v>https://www.emlakjet.com/satilik-konut/istanbul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27" s="48" t="str">
        <x:v>Ortalama kira / kiralık m² fiyatı ile çapraz-kaynak ima edilen alan.</x:v>
      </x:c>
    </x:row>
    <x:row r="128">
      <x:c r="A128" s="46" t="str">
        <x:v>İstanbul</x:v>
      </x:c>
      <x:c r="B128" s="47" t="n">
        <x:v>7</x:v>
      </x:c>
      <x:c r="C128" s="47" t="str">
        <x:v>Ortalama kiralık m² fiyatı</x:v>
      </x:c>
      <x:c r="D128" s="47" t="str">
        <x:v>TL/m²/ay</x:v>
      </x:c>
      <x:c r="E128" s="47" t="n">
        <x:v>2022</x:v>
      </x:c>
      <x:c r="F128" s="47" t="n">
        <x:v>100</x:v>
      </x:c>
      <x:c r="G128" s="47" t="str">
        <x:v>Yıl sonu / rapor dönemi</x:v>
      </x:c>
      <x:c r="H128" s="47" t="str">
        <x:v>Piyasa verisi</x:v>
      </x:c>
      <x:c r="I128" s="47" t="str">
        <x:v>S21</x:v>
      </x:c>
      <x:c r="J128" s="47" t="str">
        <x:v>https://betam.bahcesehir.edu.tr/2023/01/sahibindex-kiralik-konut-piyasasi-gorunumu-ocak-2023/</x:v>
      </x:c>
      <x:c r="K128" s="48" t="str"/>
    </x:row>
    <x:row r="129">
      <x:c r="A129" s="46" t="str">
        <x:v>İstanbul</x:v>
      </x:c>
      <x:c r="B129" s="47" t="n">
        <x:v>7</x:v>
      </x:c>
      <x:c r="C129" s="47" t="str">
        <x:v>Ortalama kiralık m² fiyatı</x:v>
      </x:c>
      <x:c r="D129" s="47" t="str">
        <x:v>TL/m²/ay</x:v>
      </x:c>
      <x:c r="E129" s="47" t="n">
        <x:v>2023</x:v>
      </x:c>
      <x:c r="F129" s="47" t="n">
        <x:v>173.3</x:v>
      </x:c>
      <x:c r="G129" s="47" t="str">
        <x:v>Yıl sonu / rapor dönemi</x:v>
      </x:c>
      <x:c r="H129" s="47" t="str">
        <x:v>Piyasa verisi</x:v>
      </x:c>
      <x:c r="I129" s="47" t="str">
        <x:v>S22</x:v>
      </x:c>
      <x:c r="J129" s="47" t="str">
        <x:v>https://betam.bahcesehir.edu.tr/2024/01/sahibindex-kiralik-konut-piyasasi-gorunumu-ocak-2024/</x:v>
      </x:c>
      <x:c r="K129" s="48" t="str"/>
    </x:row>
    <x:row r="130">
      <x:c r="A130" s="46" t="str">
        <x:v>İstanbul</x:v>
      </x:c>
      <x:c r="B130" s="47" t="n">
        <x:v>7</x:v>
      </x:c>
      <x:c r="C130" s="47" t="str">
        <x:v>Ortalama kiralık m² fiyatı</x:v>
      </x:c>
      <x:c r="D130" s="47" t="str">
        <x:v>TL/m²/ay</x:v>
      </x:c>
      <x:c r="E130" s="47" t="n">
        <x:v>2024</x:v>
      </x:c>
      <x:c r="F130" s="47" t="n">
        <x:v>254.57205559619604</x:v>
      </x:c>
      <x:c r="G130" s="47" t="str">
        <x:v>Yıl sonu / rapor dönemi</x:v>
      </x:c>
      <x:c r="H130" s="47" t="str">
        <x:v>Türetilmiş / geriye hesap</x:v>
      </x:c>
      <x:c r="I130" s="47" t="str">
        <x:v>S23</x:v>
      </x:c>
      <x:c r="J130" s="47" t="str">
        <x:v>https://betam.bahcesehir.edu.tr/2026/01/sahibindex-kiralik-konut-piyasasi-gorunumu-ocak-2026/</x:v>
      </x:c>
      <x:c r="K130" s="48" t="str"/>
    </x:row>
    <x:row r="131">
      <x:c r="A131" s="46" t="str">
        <x:v>İstanbul</x:v>
      </x:c>
      <x:c r="B131" s="47" t="n">
        <x:v>7</x:v>
      </x:c>
      <x:c r="C131" s="47" t="str">
        <x:v>Ortalama kiralık m² fiyatı</x:v>
      </x:c>
      <x:c r="D131" s="47" t="str">
        <x:v>TL/m²/ay</x:v>
      </x:c>
      <x:c r="E131" s="47" t="n">
        <x:v>2025</x:v>
      </x:c>
      <x:c r="F131" s="47" t="n">
        <x:v>348</x:v>
      </x:c>
      <x:c r="G131" s="47" t="str">
        <x:v>Yıl sonu / rapor dönemi</x:v>
      </x:c>
      <x:c r="H131" s="47" t="str">
        <x:v>Piyasa verisi</x:v>
      </x:c>
      <x:c r="I131" s="47" t="str">
        <x:v>S23</x:v>
      </x:c>
      <x:c r="J131" s="47" t="str">
        <x:v>https://betam.bahcesehir.edu.tr/2026/01/sahibindex-kiralik-konut-piyasasi-gorunumu-ocak-2026/</x:v>
      </x:c>
      <x:c r="K131" s="48" t="str"/>
    </x:row>
    <x:row r="132">
      <x:c r="A132" s="46" t="str">
        <x:v>İstanbul</x:v>
      </x:c>
      <x:c r="B132" s="47" t="n">
        <x:v>7</x:v>
      </x:c>
      <x:c r="C132" s="47" t="str">
        <x:v>Ortalama kiralık m² fiyatı</x:v>
      </x:c>
      <x:c r="D132" s="47" t="str">
        <x:v>TL/m²/ay</x:v>
      </x:c>
      <x:c r="E132" s="47" t="n">
        <x:v>2026</x:v>
      </x:c>
      <x:c r="F132" s="47" t="n">
        <x:v>456.5</x:v>
      </x:c>
      <x:c r="G132" s="47" t="str">
        <x:v>Temmuz 2026 son gözlem</x:v>
      </x:c>
      <x:c r="H132" s="47" t="str">
        <x:v>Son piyasa gözlemi</x:v>
      </x:c>
      <x:c r="I132" s="47" t="str">
        <x:v>S24</x:v>
      </x:c>
      <x:c r="J132" s="47" t="str">
        <x:v>https://www.cnbce.com/gayrimenkul/konut-piyasasinda-temmuz-hareketliligi-kiralikta-talep-artti-kiralar-reel-olarak-dustu-g36014</x:v>
      </x:c>
      <x:c r="K132" s="48" t="str"/>
    </x:row>
    <x:row r="133">
      <x:c r="A133" s="46" t="str">
        <x:v>İstanbul</x:v>
      </x:c>
      <x:c r="B133" s="47" t="n">
        <x:v>7</x:v>
      </x:c>
      <x:c r="C133" s="47" t="str">
        <x:v>Ortalama kiralık m² fiyatı</x:v>
      </x:c>
      <x:c r="D133" s="47" t="str">
        <x:v>TL/m²/ay</x:v>
      </x:c>
      <x:c r="E133" s="47" t="n">
        <x:v>2027</x:v>
      </x:c>
      <x:c r="F133" s="47" t="n">
        <x:v>524.9749999999999</x:v>
      </x:c>
      <x:c r="G133" s="47" t="str">
        <x:v>Tahmin</x:v>
      </x:c>
      <x:c r="H133" s="47" t="str">
        <x:v>Tahmin</x:v>
      </x:c>
      <x:c r="I133" s="47" t="str">
        <x:v>S24;S28;S29</x:v>
      </x:c>
      <x:c r="J133" s="47" t="str">
        <x:v>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33" s="48" t="str">
        <x:v>Nominal fiyat patikası: 2027 %15, 2028 %9, 2029 %6, 2030 %5.</x:v>
      </x:c>
    </x:row>
    <x:row r="134">
      <x:c r="A134" s="46" t="str">
        <x:v>İstanbul</x:v>
      </x:c>
      <x:c r="B134" s="47" t="n">
        <x:v>7</x:v>
      </x:c>
      <x:c r="C134" s="47" t="str">
        <x:v>Ortalama kiralık m² fiyatı</x:v>
      </x:c>
      <x:c r="D134" s="47" t="str">
        <x:v>TL/m²/ay</x:v>
      </x:c>
      <x:c r="E134" s="47" t="n">
        <x:v>2028</x:v>
      </x:c>
      <x:c r="F134" s="47" t="n">
        <x:v>572.2227499999999</x:v>
      </x:c>
      <x:c r="G134" s="47" t="str">
        <x:v>Tahmin</x:v>
      </x:c>
      <x:c r="H134" s="47" t="str">
        <x:v>Tahmin</x:v>
      </x:c>
      <x:c r="I134" s="47" t="str">
        <x:v>S24;S28;S29</x:v>
      </x:c>
      <x:c r="J134" s="47" t="str">
        <x:v>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34" s="48" t="str">
        <x:v>Nominal fiyat patikası: 2027 %15, 2028 %9, 2029 %6, 2030 %5.</x:v>
      </x:c>
    </x:row>
    <x:row r="135">
      <x:c r="A135" s="46" t="str">
        <x:v>İstanbul</x:v>
      </x:c>
      <x:c r="B135" s="47" t="n">
        <x:v>7</x:v>
      </x:c>
      <x:c r="C135" s="47" t="str">
        <x:v>Ortalama kiralık m² fiyatı</x:v>
      </x:c>
      <x:c r="D135" s="47" t="str">
        <x:v>TL/m²/ay</x:v>
      </x:c>
      <x:c r="E135" s="47" t="n">
        <x:v>2029</x:v>
      </x:c>
      <x:c r="F135" s="47" t="n">
        <x:v>606.556115</x:v>
      </x:c>
      <x:c r="G135" s="47" t="str">
        <x:v>Tahmin</x:v>
      </x:c>
      <x:c r="H135" s="47" t="str">
        <x:v>Tahmin</x:v>
      </x:c>
      <x:c r="I135" s="47" t="str">
        <x:v>S24;S28;S29</x:v>
      </x:c>
      <x:c r="J135" s="47" t="str">
        <x:v>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35" s="48" t="str">
        <x:v>Nominal fiyat patikası: 2027 %15, 2028 %9, 2029 %6, 2030 %5.</x:v>
      </x:c>
    </x:row>
    <x:row r="136">
      <x:c r="A136" s="46" t="str">
        <x:v>İstanbul</x:v>
      </x:c>
      <x:c r="B136" s="47" t="n">
        <x:v>7</x:v>
      </x:c>
      <x:c r="C136" s="47" t="str">
        <x:v>Ortalama kiralık m² fiyatı</x:v>
      </x:c>
      <x:c r="D136" s="47" t="str">
        <x:v>TL/m²/ay</x:v>
      </x:c>
      <x:c r="E136" s="47" t="n">
        <x:v>2030</x:v>
      </x:c>
      <x:c r="F136" s="47" t="n">
        <x:v>636.88392075</x:v>
      </x:c>
      <x:c r="G136" s="47" t="str">
        <x:v>Tahmin</x:v>
      </x:c>
      <x:c r="H136" s="47" t="str">
        <x:v>Tahmin</x:v>
      </x:c>
      <x:c r="I136" s="47" t="str">
        <x:v>S24;S28;S29</x:v>
      </x:c>
      <x:c r="J136" s="47" t="str">
        <x:v>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36" s="48" t="str">
        <x:v>Nominal fiyat patikası: 2027 %15, 2028 %9, 2029 %6, 2030 %5.</x:v>
      </x:c>
    </x:row>
    <x:row r="137">
      <x:c r="A137" s="46" t="str">
        <x:v>İstanbul</x:v>
      </x:c>
      <x:c r="B137" s="47" t="n">
        <x:v>8</x:v>
      </x:c>
      <x:c r="C137" s="47" t="str">
        <x:v>Ortalama kira fiyatı</x:v>
      </x:c>
      <x:c r="D137" s="47" t="str">
        <x:v>TL/ay</x:v>
      </x:c>
      <x:c r="E137" s="47" t="n">
        <x:v>2022</x:v>
      </x:c>
      <x:c r="F137" s="47" t="n">
        <x:v>9884.269662921348</x:v>
      </x:c>
      <x:c r="G137" s="47" t="str">
        <x:v>Yıl sonu / rapor dönemi</x:v>
      </x:c>
      <x:c r="H137" s="47" t="str">
        <x:v>Türetilmiş / geriye hesap</x:v>
      </x:c>
      <x:c r="I137" s="47" t="str">
        <x:v>S14</x:v>
      </x:c>
      <x:c r="J137" s="47" t="str">
        <x:v>https://www.gayrimenkulhaber.com/guncel/endeksa-acikladi-aralik-ayinda-kira-artisi-hiz-kesti-bazi-bolgelerde-dususler-var/</x:v>
      </x:c>
      <x:c r="K137" s="48" t="str"/>
    </x:row>
    <x:row r="138">
      <x:c r="A138" s="46" t="str">
        <x:v>İstanbul</x:v>
      </x:c>
      <x:c r="B138" s="47" t="n">
        <x:v>8</x:v>
      </x:c>
      <x:c r="C138" s="47" t="str">
        <x:v>Ortalama kira fiyatı</x:v>
      </x:c>
      <x:c r="D138" s="47" t="str">
        <x:v>TL/ay</x:v>
      </x:c>
      <x:c r="E138" s="47" t="n">
        <x:v>2023</x:v>
      </x:c>
      <x:c r="F138" s="47" t="n">
        <x:v>17594</x:v>
      </x:c>
      <x:c r="G138" s="47" t="str">
        <x:v>Yıl sonu / rapor dönemi</x:v>
      </x:c>
      <x:c r="H138" s="47" t="str">
        <x:v>Piyasa verisi</x:v>
      </x:c>
      <x:c r="I138" s="47" t="str">
        <x:v>S14</x:v>
      </x:c>
      <x:c r="J138" s="47" t="str">
        <x:v>https://www.gayrimenkulhaber.com/guncel/endeksa-acikladi-aralik-ayinda-kira-artisi-hiz-kesti-bazi-bolgelerde-dususler-var/</x:v>
      </x:c>
      <x:c r="K138" s="48" t="str"/>
    </x:row>
    <x:row r="139">
      <x:c r="A139" s="46" t="str">
        <x:v>İstanbul</x:v>
      </x:c>
      <x:c r="B139" s="47" t="n">
        <x:v>8</x:v>
      </x:c>
      <x:c r="C139" s="47" t="str">
        <x:v>Ortalama kira fiyatı</x:v>
      </x:c>
      <x:c r="D139" s="47" t="str">
        <x:v>TL/ay</x:v>
      </x:c>
      <x:c r="E139" s="47" t="n">
        <x:v>2024</x:v>
      </x:c>
      <x:c r="F139" s="47" t="n">
        <x:v>25331</x:v>
      </x:c>
      <x:c r="G139" s="47" t="str">
        <x:v>Yıl sonu / rapor dönemi</x:v>
      </x:c>
      <x:c r="H139" s="47" t="str">
        <x:v>Piyasa verisi</x:v>
      </x:c>
      <x:c r="I139" s="47" t="str">
        <x:v>S15</x:v>
      </x:c>
      <x:c r="J139" s="47" t="str">
        <x:v>https://www.gayrimenkulhaber.com/guncel/endeksa-2024-yillik-gayrimenkul-deger-raporu-yayimlandi/</x:v>
      </x:c>
      <x:c r="K139" s="48" t="str"/>
    </x:row>
    <x:row r="140">
      <x:c r="A140" s="46" t="str">
        <x:v>İstanbul</x:v>
      </x:c>
      <x:c r="B140" s="47" t="n">
        <x:v>8</x:v>
      </x:c>
      <x:c r="C140" s="47" t="str">
        <x:v>Ortalama kira fiyatı</x:v>
      </x:c>
      <x:c r="D140" s="47" t="str">
        <x:v>TL/ay</x:v>
      </x:c>
      <x:c r="E140" s="47" t="n">
        <x:v>2025</x:v>
      </x:c>
      <x:c r="F140" s="47" t="n">
        <x:v>33823</x:v>
      </x:c>
      <x:c r="G140" s="47" t="str">
        <x:v>Yıl sonu / rapor dönemi</x:v>
      </x:c>
      <x:c r="H140" s="47" t="str">
        <x:v>Piyasa verisi</x:v>
      </x:c>
      <x:c r="I140" s="47" t="str">
        <x:v>S16</x:v>
      </x:c>
      <x:c r="J140" s="47" t="str">
        <x:v>https://www.karar.com/ekonomi-haberleri/konut-satislari-ne-durumda-emlakta-en-cok-kazandiran-il-hangisi-2033220</x:v>
      </x:c>
      <x:c r="K140" s="48" t="str"/>
    </x:row>
    <x:row r="141">
      <x:c r="A141" s="46" t="str">
        <x:v>İstanbul</x:v>
      </x:c>
      <x:c r="B141" s="47" t="n">
        <x:v>8</x:v>
      </x:c>
      <x:c r="C141" s="47" t="str">
        <x:v>Ortalama kira fiyatı</x:v>
      </x:c>
      <x:c r="D141" s="47" t="str">
        <x:v>TL/ay</x:v>
      </x:c>
      <x:c r="E141" s="47" t="n">
        <x:v>2026</x:v>
      </x:c>
      <x:c r="F141" s="47" t="n">
        <x:v>44612</x:v>
      </x:c>
      <x:c r="G141" s="47" t="str">
        <x:v>Temmuz 2026 son gözlem</x:v>
      </x:c>
      <x:c r="H141" s="47" t="str">
        <x:v>Son piyasa gözlemi</x:v>
      </x:c>
      <x:c r="I141" s="47" t="str">
        <x:v>S18</x:v>
      </x:c>
      <x:c r="J141" s="47" t="str">
        <x:v>https://www.emlakjet.com/satilik-konut/istanbul</x:v>
      </x:c>
      <x:c r="K141" s="48" t="str"/>
    </x:row>
    <x:row r="142">
      <x:c r="A142" s="46" t="str">
        <x:v>İstanbul</x:v>
      </x:c>
      <x:c r="B142" s="47" t="n">
        <x:v>8</x:v>
      </x:c>
      <x:c r="C142" s="47" t="str">
        <x:v>Ortalama kira fiyatı</x:v>
      </x:c>
      <x:c r="D142" s="47" t="str">
        <x:v>TL/ay</x:v>
      </x:c>
      <x:c r="E142" s="47" t="n">
        <x:v>2027</x:v>
      </x:c>
      <x:c r="F142" s="47" t="n">
        <x:v>51303.79999999999</x:v>
      </x:c>
      <x:c r="G142" s="47" t="str">
        <x:v>Tahmin</x:v>
      </x:c>
      <x:c r="H142" s="47" t="str">
        <x:v>Tahmin</x:v>
      </x:c>
      <x:c r="I142" s="47" t="str">
        <x:v>S18;S24;S28;S29</x:v>
      </x:c>
      <x:c r="J142" s="47" t="str">
        <x:v>https://www.emlakjet.com/satilik-konut/istanbul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42" s="48" t="str"/>
    </x:row>
    <x:row r="143">
      <x:c r="A143" s="46" t="str">
        <x:v>İstanbul</x:v>
      </x:c>
      <x:c r="B143" s="47" t="n">
        <x:v>8</x:v>
      </x:c>
      <x:c r="C143" s="47" t="str">
        <x:v>Ortalama kira fiyatı</x:v>
      </x:c>
      <x:c r="D143" s="47" t="str">
        <x:v>TL/ay</x:v>
      </x:c>
      <x:c r="E143" s="47" t="n">
        <x:v>2028</x:v>
      </x:c>
      <x:c r="F143" s="47" t="n">
        <x:v>55921.14199999999</x:v>
      </x:c>
      <x:c r="G143" s="47" t="str">
        <x:v>Tahmin</x:v>
      </x:c>
      <x:c r="H143" s="47" t="str">
        <x:v>Tahmin</x:v>
      </x:c>
      <x:c r="I143" s="47" t="str">
        <x:v>S18;S24;S28;S29</x:v>
      </x:c>
      <x:c r="J143" s="47" t="str">
        <x:v>https://www.emlakjet.com/satilik-konut/istanbul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43" s="48" t="str"/>
    </x:row>
    <x:row r="144">
      <x:c r="A144" s="46" t="str">
        <x:v>İstanbul</x:v>
      </x:c>
      <x:c r="B144" s="47" t="n">
        <x:v>8</x:v>
      </x:c>
      <x:c r="C144" s="47" t="str">
        <x:v>Ortalama kira fiyatı</x:v>
      </x:c>
      <x:c r="D144" s="47" t="str">
        <x:v>TL/ay</x:v>
      </x:c>
      <x:c r="E144" s="47" t="n">
        <x:v>2029</x:v>
      </x:c>
      <x:c r="F144" s="47" t="n">
        <x:v>59276.41052</x:v>
      </x:c>
      <x:c r="G144" s="47" t="str">
        <x:v>Tahmin</x:v>
      </x:c>
      <x:c r="H144" s="47" t="str">
        <x:v>Tahmin</x:v>
      </x:c>
      <x:c r="I144" s="47" t="str">
        <x:v>S18;S24;S28;S29</x:v>
      </x:c>
      <x:c r="J144" s="47" t="str">
        <x:v>https://www.emlakjet.com/satilik-konut/istanbul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44" s="48" t="str"/>
    </x:row>
    <x:row r="145">
      <x:c r="A145" s="46" t="str">
        <x:v>İstanbul</x:v>
      </x:c>
      <x:c r="B145" s="47" t="n">
        <x:v>8</x:v>
      </x:c>
      <x:c r="C145" s="47" t="str">
        <x:v>Ortalama kira fiyatı</x:v>
      </x:c>
      <x:c r="D145" s="47" t="str">
        <x:v>TL/ay</x:v>
      </x:c>
      <x:c r="E145" s="47" t="n">
        <x:v>2030</x:v>
      </x:c>
      <x:c r="F145" s="47" t="n">
        <x:v>62240.231046</x:v>
      </x:c>
      <x:c r="G145" s="47" t="str">
        <x:v>Tahmin</x:v>
      </x:c>
      <x:c r="H145" s="47" t="str">
        <x:v>Tahmin</x:v>
      </x:c>
      <x:c r="I145" s="47" t="str">
        <x:v>S18;S24;S28;S29</x:v>
      </x:c>
      <x:c r="J145" s="47" t="str">
        <x:v>https://www.emlakjet.com/satilik-konut/istanbul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45" s="48" t="str"/>
    </x:row>
    <x:row r="146">
      <x:c r="A146" s="46" t="str">
        <x:v>Ankara</x:v>
      </x:c>
      <x:c r="B146" s="47" t="n">
        <x:v>1</x:v>
      </x:c>
      <x:c r="C146" s="47" t="str">
        <x:v>Satılan ev sayısı</x:v>
      </x:c>
      <x:c r="D146" s="47" t="str">
        <x:v>adet</x:v>
      </x:c>
      <x:c r="E146" s="47" t="n">
        <x:v>2022</x:v>
      </x:c>
      <x:c r="F146" s="47" t="n">
        <x:v>126166</x:v>
      </x:c>
      <x:c r="G146" s="47" t="str">
        <x:v>Tam yıl</x:v>
      </x:c>
      <x:c r="H146" s="47" t="str">
        <x:v>Resmî gerçekleşen</x:v>
      </x:c>
      <x:c r="I146" s="47" t="str">
        <x:v>S01</x:v>
      </x:c>
      <x:c r="J146" s="47" t="str">
        <x:v>https://veriportali.tuik.gov.tr/Bulten/Index?dil=1&amp;p=Konut-Satis-Istatistikleri-Aralik-2022-49526</x:v>
      </x:c>
      <x:c r="K146" s="48" t="str"/>
    </x:row>
    <x:row r="147">
      <x:c r="A147" s="46" t="str">
        <x:v>Ankara</x:v>
      </x:c>
      <x:c r="B147" s="47" t="n">
        <x:v>1</x:v>
      </x:c>
      <x:c r="C147" s="47" t="str">
        <x:v>Satılan ev sayısı</x:v>
      </x:c>
      <x:c r="D147" s="47" t="str">
        <x:v>adet</x:v>
      </x:c>
      <x:c r="E147" s="47" t="n">
        <x:v>2023</x:v>
      </x:c>
      <x:c r="F147" s="47" t="n">
        <x:v>114432</x:v>
      </x:c>
      <x:c r="G147" s="47" t="str">
        <x:v>Tam yıl</x:v>
      </x:c>
      <x:c r="H147" s="47" t="str">
        <x:v>Resmî gerçekleşen</x:v>
      </x:c>
      <x:c r="I147" s="47" t="str">
        <x:v>S02</x:v>
      </x:c>
      <x:c r="J147" s="47" t="str">
        <x:v>https://veriportali.tuik.gov.tr/tr/press/49516</x:v>
      </x:c>
      <x:c r="K147" s="48" t="str"/>
    </x:row>
    <x:row r="148">
      <x:c r="A148" s="46" t="str">
        <x:v>Ankara</x:v>
      </x:c>
      <x:c r="B148" s="47" t="n">
        <x:v>1</x:v>
      </x:c>
      <x:c r="C148" s="47" t="str">
        <x:v>Satılan ev sayısı</x:v>
      </x:c>
      <x:c r="D148" s="47" t="str">
        <x:v>adet</x:v>
      </x:c>
      <x:c r="E148" s="47" t="n">
        <x:v>2024</x:v>
      </x:c>
      <x:c r="F148" s="47" t="n">
        <x:v>134046</x:v>
      </x:c>
      <x:c r="G148" s="47" t="str">
        <x:v>Tam yıl</x:v>
      </x:c>
      <x:c r="H148" s="47" t="str">
        <x:v>Resmî gerçekleşen</x:v>
      </x:c>
      <x:c r="I148" s="47" t="str">
        <x:v>S03</x:v>
      </x:c>
      <x:c r="J148" s="47" t="str">
        <x:v>https://veriportali.tuik.gov.tr/tr/press/54146</x:v>
      </x:c>
      <x:c r="K148" s="48" t="str"/>
    </x:row>
    <x:row r="149">
      <x:c r="A149" s="46" t="str">
        <x:v>Ankara</x:v>
      </x:c>
      <x:c r="B149" s="47" t="n">
        <x:v>1</x:v>
      </x:c>
      <x:c r="C149" s="47" t="str">
        <x:v>Satılan ev sayısı</x:v>
      </x:c>
      <x:c r="D149" s="47" t="str">
        <x:v>adet</x:v>
      </x:c>
      <x:c r="E149" s="47" t="n">
        <x:v>2025</x:v>
      </x:c>
      <x:c r="F149" s="47" t="n">
        <x:v>152534</x:v>
      </x:c>
      <x:c r="G149" s="47" t="str">
        <x:v>Tam yıl</x:v>
      </x:c>
      <x:c r="H149" s="47" t="str">
        <x:v>Resmî gerçekleşen</x:v>
      </x:c>
      <x:c r="I149" s="47" t="str">
        <x:v>S04</x:v>
      </x:c>
      <x:c r="J149" s="47" t="str">
        <x:v>https://veriportali.tuik.gov.tr/tr/press/58350</x:v>
      </x:c>
      <x:c r="K149" s="48" t="str"/>
    </x:row>
    <x:row r="150">
      <x:c r="A150" s="46" t="str">
        <x:v>Ankara</x:v>
      </x:c>
      <x:c r="B150" s="47" t="n">
        <x:v>1</x:v>
      </x:c>
      <x:c r="C150" s="47" t="str">
        <x:v>Satılan ev sayısı</x:v>
      </x:c>
      <x:c r="D150" s="47" t="str">
        <x:v>adet</x:v>
      </x:c>
      <x:c r="E150" s="47" t="n">
        <x:v>2026</x:v>
      </x:c>
      <x:c r="F150" s="47" t="n">
        <x:v>144187.40437568258</x:v>
      </x:c>
      <x:c r="G150" s="47" t="str">
        <x:v>2026E</x:v>
      </x:c>
      <x:c r="H150" s="47" t="str">
        <x:v>2026E yıllık tahmin</x:v>
      </x:c>
      <x:c r="I150" s="47" t="str">
        <x:v>S04;S05</x:v>
      </x:c>
      <x:c r="J150" s="47" t="str">
        <x:v>https://veriportali.tuik.gov.tr/tr/press/58350 ; https://veriportali.tuik.gov.tr/tr/press/58339</x:v>
      </x:c>
      <x:c r="K150" s="48" t="str"/>
    </x:row>
    <x:row r="151">
      <x:c r="A151" s="46" t="str">
        <x:v>Ankara</x:v>
      </x:c>
      <x:c r="B151" s="47" t="n">
        <x:v>1</x:v>
      </x:c>
      <x:c r="C151" s="47" t="str">
        <x:v>Satılan ev sayısı</x:v>
      </x:c>
      <x:c r="D151" s="47" t="str">
        <x:v>adet</x:v>
      </x:c>
      <x:c r="E151" s="47" t="n">
        <x:v>2027</x:v>
      </x:c>
      <x:c r="F151" s="47" t="n">
        <x:v>148076.2948952132</x:v>
      </x:c>
      <x:c r="G151" s="47" t="str">
        <x:v>Tahmin</x:v>
      </x:c>
      <x:c r="H151" s="47" t="str">
        <x:v>Tahmin</x:v>
      </x:c>
      <x:c r="I151" s="47" t="str">
        <x:v>S05;S28;S29</x:v>
      </x:c>
      <x:c r="J151" s="47" t="str">
        <x:v>https://veriportali.tuik.gov.tr/tr/press/58339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51" s="48" t="str">
        <x:v>2022-2026 CAGR ile %2 uzun dönem işlem büyümesi harmanlanmıştır.</x:v>
      </x:c>
    </x:row>
    <x:row r="152">
      <x:c r="A152" s="46" t="str">
        <x:v>Ankara</x:v>
      </x:c>
      <x:c r="B152" s="47" t="n">
        <x:v>1</x:v>
      </x:c>
      <x:c r="C152" s="47" t="str">
        <x:v>Satılan ev sayısı</x:v>
      </x:c>
      <x:c r="D152" s="47" t="str">
        <x:v>adet</x:v>
      </x:c>
      <x:c r="E152" s="47" t="n">
        <x:v>2028</x:v>
      </x:c>
      <x:c r="F152" s="47" t="n">
        <x:v>151760.39734183642</x:v>
      </x:c>
      <x:c r="G152" s="47" t="str">
        <x:v>Tahmin</x:v>
      </x:c>
      <x:c r="H152" s="47" t="str">
        <x:v>Tahmin</x:v>
      </x:c>
      <x:c r="I152" s="47" t="str">
        <x:v>S05;S28;S29</x:v>
      </x:c>
      <x:c r="J152" s="47" t="str">
        <x:v>https://veriportali.tuik.gov.tr/tr/press/58339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52" s="48" t="str">
        <x:v>2022-2026 CAGR ile %2 uzun dönem işlem büyümesi harmanlanmıştır.</x:v>
      </x:c>
    </x:row>
    <x:row r="153">
      <x:c r="A153" s="46" t="str">
        <x:v>Ankara</x:v>
      </x:c>
      <x:c r="B153" s="47" t="n">
        <x:v>1</x:v>
      </x:c>
      <x:c r="C153" s="47" t="str">
        <x:v>Satılan ev sayısı</x:v>
      </x:c>
      <x:c r="D153" s="47" t="str">
        <x:v>adet</x:v>
      </x:c>
      <x:c r="E153" s="47" t="n">
        <x:v>2029</x:v>
      </x:c>
      <x:c r="F153" s="47" t="n">
        <x:v>155218.77904793047</x:v>
      </x:c>
      <x:c r="G153" s="47" t="str">
        <x:v>Tahmin</x:v>
      </x:c>
      <x:c r="H153" s="47" t="str">
        <x:v>Tahmin</x:v>
      </x:c>
      <x:c r="I153" s="47" t="str">
        <x:v>S05;S28;S29</x:v>
      </x:c>
      <x:c r="J153" s="47" t="str">
        <x:v>https://veriportali.tuik.gov.tr/tr/press/58339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53" s="48" t="str">
        <x:v>2022-2026 CAGR ile %2 uzun dönem işlem büyümesi harmanlanmıştır.</x:v>
      </x:c>
    </x:row>
    <x:row r="154">
      <x:c r="A154" s="46" t="str">
        <x:v>Ankara</x:v>
      </x:c>
      <x:c r="B154" s="47" t="n">
        <x:v>1</x:v>
      </x:c>
      <x:c r="C154" s="47" t="str">
        <x:v>Satılan ev sayısı</x:v>
      </x:c>
      <x:c r="D154" s="47" t="str">
        <x:v>adet</x:v>
      </x:c>
      <x:c r="E154" s="47" t="n">
        <x:v>2030</x:v>
      </x:c>
      <x:c r="F154" s="47" t="n">
        <x:v>158323.15462888908</x:v>
      </x:c>
      <x:c r="G154" s="47" t="str">
        <x:v>Tahmin</x:v>
      </x:c>
      <x:c r="H154" s="47" t="str">
        <x:v>Tahmin</x:v>
      </x:c>
      <x:c r="I154" s="47" t="str">
        <x:v>S05;S28;S29</x:v>
      </x:c>
      <x:c r="J154" s="47" t="str">
        <x:v>https://veriportali.tuik.gov.tr/tr/press/58339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54" s="48" t="str">
        <x:v>2022-2026 CAGR ile %2 uzun dönem işlem büyümesi harmanlanmıştır.</x:v>
      </x:c>
    </x:row>
    <x:row r="155">
      <x:c r="A155" s="46" t="str">
        <x:v>Ankara</x:v>
      </x:c>
      <x:c r="B155" s="47" t="n">
        <x:v>2</x:v>
      </x:c>
      <x:c r="C155" s="47" t="str">
        <x:v>Ortalama satılık konut alanı</x:v>
      </x:c>
      <x:c r="D155" s="47" t="str">
        <x:v>m²</x:v>
      </x:c>
      <x:c r="E155" s="47" t="n">
        <x:v>2022</x:v>
      </x:c>
      <x:c r="F155" s="47" t="n">
        <x:v>132</x:v>
      </x:c>
      <x:c r="G155" s="47" t="str">
        <x:v>Yıl sonu / rapor dönemi</x:v>
      </x:c>
      <x:c r="H155" s="47" t="str">
        <x:v>Türetilmiş</x:v>
      </x:c>
      <x:c r="I155" s="47" t="str">
        <x:v>S06</x:v>
      </x:c>
      <x:c r="J155" s="47" t="str">
        <x:v>https://www.emlakdream.com/turkiyede-ortalama-bir-ev-fiyati-1-8-milyon-tlye-yukseldi/</x:v>
      </x:c>
      <x:c r="K155" s="48" t="str"/>
    </x:row>
    <x:row r="156">
      <x:c r="A156" s="46" t="str">
        <x:v>Ankara</x:v>
      </x:c>
      <x:c r="B156" s="47" t="n">
        <x:v>2</x:v>
      </x:c>
      <x:c r="C156" s="47" t="str">
        <x:v>Ortalama satılık konut alanı</x:v>
      </x:c>
      <x:c r="D156" s="47" t="str">
        <x:v>m²</x:v>
      </x:c>
      <x:c r="E156" s="47" t="n">
        <x:v>2023</x:v>
      </x:c>
      <x:c r="F156" s="47" t="n">
        <x:v>130</x:v>
      </x:c>
      <x:c r="G156" s="47" t="str">
        <x:v>Yıl sonu / rapor dönemi</x:v>
      </x:c>
      <x:c r="H156" s="47" t="str">
        <x:v>Türetilmiş</x:v>
      </x:c>
      <x:c r="I156" s="47" t="str">
        <x:v>S07</x:v>
      </x:c>
      <x:c r="J156" s="47" t="str">
        <x:v>https://www.gayrimenkulhaber.com/emlak-haberleri/turkiyede-ortalama-konut-fiyati-3-milyon-92-bin-700-tl-oldu/</x:v>
      </x:c>
      <x:c r="K156" s="48" t="str"/>
    </x:row>
    <x:row r="157">
      <x:c r="A157" s="46" t="str">
        <x:v>Ankara</x:v>
      </x:c>
      <x:c r="B157" s="47" t="n">
        <x:v>2</x:v>
      </x:c>
      <x:c r="C157" s="47" t="str">
        <x:v>Ortalama satılık konut alanı</x:v>
      </x:c>
      <x:c r="D157" s="47" t="str">
        <x:v>m²</x:v>
      </x:c>
      <x:c r="E157" s="47" t="n">
        <x:v>2024</x:v>
      </x:c>
      <x:c r="F157" s="47" t="n">
        <x:v>129.50317871438662</x:v>
      </x:c>
      <x:c r="G157" s="47" t="str">
        <x:v>Yıl sonu / rapor dönemi</x:v>
      </x:c>
      <x:c r="H157" s="47" t="str">
        <x:v>Türetilmiş</x:v>
      </x:c>
      <x:c r="I157" s="47" t="str">
        <x:v>S08</x:v>
      </x:c>
      <x:c r="J157" s="47" t="str">
        <x:v>https://www.gayrimenkulhaber.com/guncel/endeksa-2024-yillik-gayrimenkul-deger-raporu-yayimlandi/</x:v>
      </x:c>
      <x:c r="K157" s="48" t="str"/>
    </x:row>
    <x:row r="158">
      <x:c r="A158" s="46" t="str">
        <x:v>Ankara</x:v>
      </x:c>
      <x:c r="B158" s="47" t="n">
        <x:v>2</x:v>
      </x:c>
      <x:c r="C158" s="47" t="str">
        <x:v>Ortalama satılık konut alanı</x:v>
      </x:c>
      <x:c r="D158" s="47" t="str">
        <x:v>m²</x:v>
      </x:c>
      <x:c r="E158" s="47" t="n">
        <x:v>2025</x:v>
      </x:c>
      <x:c r="F158" s="47" t="n">
        <x:v>129.20276024078697</x:v>
      </x:c>
      <x:c r="G158" s="47" t="str">
        <x:v>Yıl sonu / rapor dönemi</x:v>
      </x:c>
      <x:c r="H158" s="47" t="str">
        <x:v>Türetilmiş</x:v>
      </x:c>
      <x:c r="I158" s="47" t="str">
        <x:v>S09;S16</x:v>
      </x:c>
      <x:c r="J158" s="47" t="str">
        <x:v>https://www.dunya.com/ekonomik-veriler/endeksa-konut-satis-fiyatlari-aralik-ayinda-yuzde-272-artti-haberi-812021 ; https://www.karar.com/ekonomi-haberleri/konut-satislari-ne-durumda-emlakta-en-cok-kazandiran-il-hangisi-2033220</x:v>
      </x:c>
      <x:c r="K158" s="48" t="str"/>
    </x:row>
    <x:row r="159">
      <x:c r="A159" s="46" t="str">
        <x:v>Ankara</x:v>
      </x:c>
      <x:c r="B159" s="47" t="n">
        <x:v>2</x:v>
      </x:c>
      <x:c r="C159" s="47" t="str">
        <x:v>Ortalama satılık konut alanı</x:v>
      </x:c>
      <x:c r="D159" s="47" t="str">
        <x:v>m²</x:v>
      </x:c>
      <x:c r="E159" s="47" t="n">
        <x:v>2026</x:v>
      </x:c>
      <x:c r="F159" s="47" t="n">
        <x:v>130</x:v>
      </x:c>
      <x:c r="G159" s="47" t="str">
        <x:v>Temmuz 2026 son gözlem</x:v>
      </x:c>
      <x:c r="H159" s="47" t="str">
        <x:v>Türetilmiş</x:v>
      </x:c>
      <x:c r="I159" s="47" t="str">
        <x:v>S12</x:v>
      </x:c>
      <x:c r="J159" s="47" t="str">
        <x:v>https://www.emlakjet.com/emlak-piyasasi/satilik-konut/ankara</x:v>
      </x:c>
      <x:c r="K159" s="48" t="str"/>
    </x:row>
    <x:row r="160">
      <x:c r="A160" s="46" t="str">
        <x:v>Ankara</x:v>
      </x:c>
      <x:c r="B160" s="47" t="n">
        <x:v>2</x:v>
      </x:c>
      <x:c r="C160" s="47" t="str">
        <x:v>Ortalama satılık konut alanı</x:v>
      </x:c>
      <x:c r="D160" s="47" t="str">
        <x:v>m²</x:v>
      </x:c>
      <x:c r="E160" s="47" t="n">
        <x:v>2027</x:v>
      </x:c>
      <x:c r="F160" s="47" t="n">
        <x:v>130</x:v>
      </x:c>
      <x:c r="G160" s="47" t="str">
        <x:v>Tahmin</x:v>
      </x:c>
      <x:c r="H160" s="47" t="str">
        <x:v>Tahmin</x:v>
      </x:c>
      <x:c r="I160" s="47" t="str">
        <x:v>S12;S28;S29</x:v>
      </x:c>
      <x:c r="J160" s="47" t="str">
        <x:v>https://www.emlakjet.com/emlak-piyasasi/satilik-konut/ankara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60" s="48" t="str">
        <x:v>2026 alanı sabit tutulmuştur.</x:v>
      </x:c>
    </x:row>
    <x:row r="161">
      <x:c r="A161" s="46" t="str">
        <x:v>Ankara</x:v>
      </x:c>
      <x:c r="B161" s="47" t="n">
        <x:v>2</x:v>
      </x:c>
      <x:c r="C161" s="47" t="str">
        <x:v>Ortalama satılık konut alanı</x:v>
      </x:c>
      <x:c r="D161" s="47" t="str">
        <x:v>m²</x:v>
      </x:c>
      <x:c r="E161" s="47" t="n">
        <x:v>2028</x:v>
      </x:c>
      <x:c r="F161" s="47" t="n">
        <x:v>130</x:v>
      </x:c>
      <x:c r="G161" s="47" t="str">
        <x:v>Tahmin</x:v>
      </x:c>
      <x:c r="H161" s="47" t="str">
        <x:v>Tahmin</x:v>
      </x:c>
      <x:c r="I161" s="47" t="str">
        <x:v>S12;S28;S29</x:v>
      </x:c>
      <x:c r="J161" s="47" t="str">
        <x:v>https://www.emlakjet.com/emlak-piyasasi/satilik-konut/ankara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61" s="48" t="str">
        <x:v>2026 alanı sabit tutulmuştur.</x:v>
      </x:c>
    </x:row>
    <x:row r="162">
      <x:c r="A162" s="46" t="str">
        <x:v>Ankara</x:v>
      </x:c>
      <x:c r="B162" s="47" t="n">
        <x:v>2</x:v>
      </x:c>
      <x:c r="C162" s="47" t="str">
        <x:v>Ortalama satılık konut alanı</x:v>
      </x:c>
      <x:c r="D162" s="47" t="str">
        <x:v>m²</x:v>
      </x:c>
      <x:c r="E162" s="47" t="n">
        <x:v>2029</x:v>
      </x:c>
      <x:c r="F162" s="47" t="n">
        <x:v>130</x:v>
      </x:c>
      <x:c r="G162" s="47" t="str">
        <x:v>Tahmin</x:v>
      </x:c>
      <x:c r="H162" s="47" t="str">
        <x:v>Tahmin</x:v>
      </x:c>
      <x:c r="I162" s="47" t="str">
        <x:v>S12;S28;S29</x:v>
      </x:c>
      <x:c r="J162" s="47" t="str">
        <x:v>https://www.emlakjet.com/emlak-piyasasi/satilik-konut/ankara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62" s="48" t="str">
        <x:v>2026 alanı sabit tutulmuştur.</x:v>
      </x:c>
    </x:row>
    <x:row r="163">
      <x:c r="A163" s="46" t="str">
        <x:v>Ankara</x:v>
      </x:c>
      <x:c r="B163" s="47" t="n">
        <x:v>2</x:v>
      </x:c>
      <x:c r="C163" s="47" t="str">
        <x:v>Ortalama satılık konut alanı</x:v>
      </x:c>
      <x:c r="D163" s="47" t="str">
        <x:v>m²</x:v>
      </x:c>
      <x:c r="E163" s="47" t="n">
        <x:v>2030</x:v>
      </x:c>
      <x:c r="F163" s="47" t="n">
        <x:v>130</x:v>
      </x:c>
      <x:c r="G163" s="47" t="str">
        <x:v>Tahmin</x:v>
      </x:c>
      <x:c r="H163" s="47" t="str">
        <x:v>Tahmin</x:v>
      </x:c>
      <x:c r="I163" s="47" t="str">
        <x:v>S12;S28;S29</x:v>
      </x:c>
      <x:c r="J163" s="47" t="str">
        <x:v>https://www.emlakjet.com/emlak-piyasasi/satilik-konut/ankara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63" s="48" t="str">
        <x:v>2026 alanı sabit tutulmuştur.</x:v>
      </x:c>
    </x:row>
    <x:row r="164">
      <x:c r="A164" s="46" t="str">
        <x:v>Ankara</x:v>
      </x:c>
      <x:c r="B164" s="47" t="n">
        <x:v>3</x:v>
      </x:c>
      <x:c r="C164" s="47" t="str">
        <x:v>Ortalama satılık m² fiyatı</x:v>
      </x:c>
      <x:c r="D164" s="47" t="str">
        <x:v>TL/m²</x:v>
      </x:c>
      <x:c r="E164" s="47" t="n">
        <x:v>2022</x:v>
      </x:c>
      <x:c r="F164" s="47" t="n">
        <x:v>10282</x:v>
      </x:c>
      <x:c r="G164" s="47" t="str">
        <x:v>Yıl sonu / rapor dönemi</x:v>
      </x:c>
      <x:c r="H164" s="47" t="str">
        <x:v>Piyasa verisi</x:v>
      </x:c>
      <x:c r="I164" s="47" t="str">
        <x:v>S06</x:v>
      </x:c>
      <x:c r="J164" s="47" t="str">
        <x:v>https://www.emlakdream.com/turkiyede-ortalama-bir-ev-fiyati-1-8-milyon-tlye-yukseldi/</x:v>
      </x:c>
      <x:c r="K164" s="48" t="str"/>
    </x:row>
    <x:row r="165">
      <x:c r="A165" s="46" t="str">
        <x:v>Ankara</x:v>
      </x:c>
      <x:c r="B165" s="47" t="n">
        <x:v>3</x:v>
      </x:c>
      <x:c r="C165" s="47" t="str">
        <x:v>Ortalama satılık m² fiyatı</x:v>
      </x:c>
      <x:c r="D165" s="47" t="str">
        <x:v>TL/m²</x:v>
      </x:c>
      <x:c r="E165" s="47" t="n">
        <x:v>2023</x:v>
      </x:c>
      <x:c r="F165" s="47" t="n">
        <x:v>19770</x:v>
      </x:c>
      <x:c r="G165" s="47" t="str">
        <x:v>Yıl sonu / rapor dönemi</x:v>
      </x:c>
      <x:c r="H165" s="47" t="str">
        <x:v>Piyasa verisi</x:v>
      </x:c>
      <x:c r="I165" s="47" t="str">
        <x:v>S07</x:v>
      </x:c>
      <x:c r="J165" s="47" t="str">
        <x:v>https://www.gayrimenkulhaber.com/emlak-haberleri/turkiyede-ortalama-konut-fiyati-3-milyon-92-bin-700-tl-oldu/</x:v>
      </x:c>
      <x:c r="K165" s="48" t="str"/>
    </x:row>
    <x:row r="166">
      <x:c r="A166" s="46" t="str">
        <x:v>Ankara</x:v>
      </x:c>
      <x:c r="B166" s="47" t="n">
        <x:v>3</x:v>
      </x:c>
      <x:c r="C166" s="47" t="str">
        <x:v>Ortalama satılık m² fiyatı</x:v>
      </x:c>
      <x:c r="D166" s="47" t="str">
        <x:v>TL/m²</x:v>
      </x:c>
      <x:c r="E166" s="47" t="n">
        <x:v>2024</x:v>
      </x:c>
      <x:c r="F166" s="47" t="n">
        <x:v>25482</x:v>
      </x:c>
      <x:c r="G166" s="47" t="str">
        <x:v>Yıl sonu / rapor dönemi</x:v>
      </x:c>
      <x:c r="H166" s="47" t="str">
        <x:v>Piyasa verisi</x:v>
      </x:c>
      <x:c r="I166" s="47" t="str">
        <x:v>S08</x:v>
      </x:c>
      <x:c r="J166" s="47" t="str">
        <x:v>https://www.gayrimenkulhaber.com/guncel/endeksa-2024-yillik-gayrimenkul-deger-raporu-yayimlandi/</x:v>
      </x:c>
      <x:c r="K166" s="48" t="str"/>
    </x:row>
    <x:row r="167">
      <x:c r="A167" s="46" t="str">
        <x:v>Ankara</x:v>
      </x:c>
      <x:c r="B167" s="47" t="n">
        <x:v>3</x:v>
      </x:c>
      <x:c r="C167" s="47" t="str">
        <x:v>Ortalama satılık m² fiyatı</x:v>
      </x:c>
      <x:c r="D167" s="47" t="str">
        <x:v>TL/m²</x:v>
      </x:c>
      <x:c r="E167" s="47" t="n">
        <x:v>2025</x:v>
      </x:c>
      <x:c r="F167" s="47" t="n">
        <x:v>34055</x:v>
      </x:c>
      <x:c r="G167" s="47" t="str">
        <x:v>Yıl sonu / rapor dönemi</x:v>
      </x:c>
      <x:c r="H167" s="47" t="str">
        <x:v>Piyasa verisi</x:v>
      </x:c>
      <x:c r="I167" s="47" t="str">
        <x:v>S09;S16</x:v>
      </x:c>
      <x:c r="J167" s="47" t="str">
        <x:v>https://www.dunya.com/ekonomik-veriler/endeksa-konut-satis-fiyatlari-aralik-ayinda-yuzde-272-artti-haberi-812021 ; https://www.karar.com/ekonomi-haberleri/konut-satislari-ne-durumda-emlakta-en-cok-kazandiran-il-hangisi-2033220</x:v>
      </x:c>
      <x:c r="K167" s="48" t="str"/>
    </x:row>
    <x:row r="168">
      <x:c r="A168" s="46" t="str">
        <x:v>Ankara</x:v>
      </x:c>
      <x:c r="B168" s="47" t="n">
        <x:v>3</x:v>
      </x:c>
      <x:c r="C168" s="47" t="str">
        <x:v>Ortalama satılık m² fiyatı</x:v>
      </x:c>
      <x:c r="D168" s="47" t="str">
        <x:v>TL/m²</x:v>
      </x:c>
      <x:c r="E168" s="47" t="n">
        <x:v>2026</x:v>
      </x:c>
      <x:c r="F168" s="47" t="n">
        <x:v>38674</x:v>
      </x:c>
      <x:c r="G168" s="47" t="str">
        <x:v>Temmuz 2026 son gözlem</x:v>
      </x:c>
      <x:c r="H168" s="47" t="str">
        <x:v>Son piyasa gözlemi</x:v>
      </x:c>
      <x:c r="I168" s="47" t="str">
        <x:v>S12</x:v>
      </x:c>
      <x:c r="J168" s="47" t="str">
        <x:v>https://www.emlakjet.com/emlak-piyasasi/satilik-konut/ankara</x:v>
      </x:c>
      <x:c r="K168" s="48" t="str"/>
    </x:row>
    <x:row r="169">
      <x:c r="A169" s="46" t="str">
        <x:v>Ankara</x:v>
      </x:c>
      <x:c r="B169" s="47" t="n">
        <x:v>3</x:v>
      </x:c>
      <x:c r="C169" s="47" t="str">
        <x:v>Ortalama satılık m² fiyatı</x:v>
      </x:c>
      <x:c r="D169" s="47" t="str">
        <x:v>TL/m²</x:v>
      </x:c>
      <x:c r="E169" s="47" t="n">
        <x:v>2027</x:v>
      </x:c>
      <x:c r="F169" s="47" t="n">
        <x:v>44475.1</x:v>
      </x:c>
      <x:c r="G169" s="47" t="str">
        <x:v>Tahmin</x:v>
      </x:c>
      <x:c r="H169" s="47" t="str">
        <x:v>Tahmin</x:v>
      </x:c>
      <x:c r="I169" s="47" t="str">
        <x:v>S12;S28;S29</x:v>
      </x:c>
      <x:c r="J169" s="47" t="str">
        <x:v>https://www.emlakjet.com/emlak-piyasasi/satilik-konut/ankara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69" s="48" t="str">
        <x:v>Nominal fiyat patikası: 2027 %15, 2028 %9, 2029 %6, 2030 %5.</x:v>
      </x:c>
    </x:row>
    <x:row r="170">
      <x:c r="A170" s="46" t="str">
        <x:v>Ankara</x:v>
      </x:c>
      <x:c r="B170" s="47" t="n">
        <x:v>3</x:v>
      </x:c>
      <x:c r="C170" s="47" t="str">
        <x:v>Ortalama satılık m² fiyatı</x:v>
      </x:c>
      <x:c r="D170" s="47" t="str">
        <x:v>TL/m²</x:v>
      </x:c>
      <x:c r="E170" s="47" t="n">
        <x:v>2028</x:v>
      </x:c>
      <x:c r="F170" s="47" t="n">
        <x:v>48477.859000000004</x:v>
      </x:c>
      <x:c r="G170" s="47" t="str">
        <x:v>Tahmin</x:v>
      </x:c>
      <x:c r="H170" s="47" t="str">
        <x:v>Tahmin</x:v>
      </x:c>
      <x:c r="I170" s="47" t="str">
        <x:v>S12;S28;S29</x:v>
      </x:c>
      <x:c r="J170" s="47" t="str">
        <x:v>https://www.emlakjet.com/emlak-piyasasi/satilik-konut/ankara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70" s="48" t="str">
        <x:v>Nominal fiyat patikası: 2027 %15, 2028 %9, 2029 %6, 2030 %5.</x:v>
      </x:c>
    </x:row>
    <x:row r="171">
      <x:c r="A171" s="46" t="str">
        <x:v>Ankara</x:v>
      </x:c>
      <x:c r="B171" s="47" t="n">
        <x:v>3</x:v>
      </x:c>
      <x:c r="C171" s="47" t="str">
        <x:v>Ortalama satılık m² fiyatı</x:v>
      </x:c>
      <x:c r="D171" s="47" t="str">
        <x:v>TL/m²</x:v>
      </x:c>
      <x:c r="E171" s="47" t="n">
        <x:v>2029</x:v>
      </x:c>
      <x:c r="F171" s="47" t="n">
        <x:v>51386.53054000001</x:v>
      </x:c>
      <x:c r="G171" s="47" t="str">
        <x:v>Tahmin</x:v>
      </x:c>
      <x:c r="H171" s="47" t="str">
        <x:v>Tahmin</x:v>
      </x:c>
      <x:c r="I171" s="47" t="str">
        <x:v>S12;S28;S29</x:v>
      </x:c>
      <x:c r="J171" s="47" t="str">
        <x:v>https://www.emlakjet.com/emlak-piyasasi/satilik-konut/ankara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71" s="48" t="str">
        <x:v>Nominal fiyat patikası: 2027 %15, 2028 %9, 2029 %6, 2030 %5.</x:v>
      </x:c>
    </x:row>
    <x:row r="172">
      <x:c r="A172" s="46" t="str">
        <x:v>Ankara</x:v>
      </x:c>
      <x:c r="B172" s="47" t="n">
        <x:v>3</x:v>
      </x:c>
      <x:c r="C172" s="47" t="str">
        <x:v>Ortalama satılık m² fiyatı</x:v>
      </x:c>
      <x:c r="D172" s="47" t="str">
        <x:v>TL/m²</x:v>
      </x:c>
      <x:c r="E172" s="47" t="n">
        <x:v>2030</x:v>
      </x:c>
      <x:c r="F172" s="47" t="n">
        <x:v>53955.85706700001</x:v>
      </x:c>
      <x:c r="G172" s="47" t="str">
        <x:v>Tahmin</x:v>
      </x:c>
      <x:c r="H172" s="47" t="str">
        <x:v>Tahmin</x:v>
      </x:c>
      <x:c r="I172" s="47" t="str">
        <x:v>S12;S28;S29</x:v>
      </x:c>
      <x:c r="J172" s="47" t="str">
        <x:v>https://www.emlakjet.com/emlak-piyasasi/satilik-konut/ankara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72" s="48" t="str">
        <x:v>Nominal fiyat patikası: 2027 %15, 2028 %9, 2029 %6, 2030 %5.</x:v>
      </x:c>
    </x:row>
    <x:row r="173">
      <x:c r="A173" s="46" t="str">
        <x:v>Ankara</x:v>
      </x:c>
      <x:c r="B173" s="47" t="n">
        <x:v>4</x:v>
      </x:c>
      <x:c r="C173" s="47" t="str">
        <x:v>Ortalama ev fiyatı</x:v>
      </x:c>
      <x:c r="D173" s="47" t="str">
        <x:v>TL</x:v>
      </x:c>
      <x:c r="E173" s="47" t="n">
        <x:v>2022</x:v>
      </x:c>
      <x:c r="F173" s="47" t="n">
        <x:v>1357224</x:v>
      </x:c>
      <x:c r="G173" s="47" t="str">
        <x:v>Yıl sonu / rapor dönemi</x:v>
      </x:c>
      <x:c r="H173" s="47" t="str">
        <x:v>Piyasa verisi</x:v>
      </x:c>
      <x:c r="I173" s="47" t="str">
        <x:v>S06</x:v>
      </x:c>
      <x:c r="J173" s="47" t="str">
        <x:v>https://www.emlakdream.com/turkiyede-ortalama-bir-ev-fiyati-1-8-milyon-tlye-yukseldi/</x:v>
      </x:c>
      <x:c r="K173" s="48" t="str"/>
    </x:row>
    <x:row r="174">
      <x:c r="A174" s="46" t="str">
        <x:v>Ankara</x:v>
      </x:c>
      <x:c r="B174" s="47" t="n">
        <x:v>4</x:v>
      </x:c>
      <x:c r="C174" s="47" t="str">
        <x:v>Ortalama ev fiyatı</x:v>
      </x:c>
      <x:c r="D174" s="47" t="str">
        <x:v>TL</x:v>
      </x:c>
      <x:c r="E174" s="47" t="n">
        <x:v>2023</x:v>
      </x:c>
      <x:c r="F174" s="47" t="n">
        <x:v>2570100</x:v>
      </x:c>
      <x:c r="G174" s="47" t="str">
        <x:v>Yıl sonu / rapor dönemi</x:v>
      </x:c>
      <x:c r="H174" s="47" t="str">
        <x:v>Piyasa verisi</x:v>
      </x:c>
      <x:c r="I174" s="47" t="str">
        <x:v>S07</x:v>
      </x:c>
      <x:c r="J174" s="47" t="str">
        <x:v>https://www.gayrimenkulhaber.com/emlak-haberleri/turkiyede-ortalama-konut-fiyati-3-milyon-92-bin-700-tl-oldu/</x:v>
      </x:c>
      <x:c r="K174" s="48" t="str"/>
    </x:row>
    <x:row r="175">
      <x:c r="A175" s="46" t="str">
        <x:v>Ankara</x:v>
      </x:c>
      <x:c r="B175" s="47" t="n">
        <x:v>4</x:v>
      </x:c>
      <x:c r="C175" s="47" t="str">
        <x:v>Ortalama ev fiyatı</x:v>
      </x:c>
      <x:c r="D175" s="47" t="str">
        <x:v>TL</x:v>
      </x:c>
      <x:c r="E175" s="47" t="n">
        <x:v>2024</x:v>
      </x:c>
      <x:c r="F175" s="47" t="n">
        <x:v>3300000</x:v>
      </x:c>
      <x:c r="G175" s="47" t="str">
        <x:v>Yıl sonu / rapor dönemi</x:v>
      </x:c>
      <x:c r="H175" s="47" t="str">
        <x:v>Piyasa verisi</x:v>
      </x:c>
      <x:c r="I175" s="47" t="str">
        <x:v>S08</x:v>
      </x:c>
      <x:c r="J175" s="47" t="str">
        <x:v>https://www.gayrimenkulhaber.com/guncel/endeksa-2024-yillik-gayrimenkul-deger-raporu-yayimlandi/</x:v>
      </x:c>
      <x:c r="K175" s="48" t="str"/>
    </x:row>
    <x:row r="176">
      <x:c r="A176" s="46" t="str">
        <x:v>Ankara</x:v>
      </x:c>
      <x:c r="B176" s="47" t="n">
        <x:v>4</x:v>
      </x:c>
      <x:c r="C176" s="47" t="str">
        <x:v>Ortalama ev fiyatı</x:v>
      </x:c>
      <x:c r="D176" s="47" t="str">
        <x:v>TL</x:v>
      </x:c>
      <x:c r="E176" s="47" t="n">
        <x:v>2025</x:v>
      </x:c>
      <x:c r="F176" s="47" t="n">
        <x:v>4400000</x:v>
      </x:c>
      <x:c r="G176" s="47" t="str">
        <x:v>Yıl sonu / rapor dönemi</x:v>
      </x:c>
      <x:c r="H176" s="47" t="str">
        <x:v>Piyasa verisi</x:v>
      </x:c>
      <x:c r="I176" s="47" t="str">
        <x:v>S09;S16</x:v>
      </x:c>
      <x:c r="J176" s="47" t="str">
        <x:v>https://www.dunya.com/ekonomik-veriler/endeksa-konut-satis-fiyatlari-aralik-ayinda-yuzde-272-artti-haberi-812021 ; https://www.karar.com/ekonomi-haberleri/konut-satislari-ne-durumda-emlakta-en-cok-kazandiran-il-hangisi-2033220</x:v>
      </x:c>
      <x:c r="K176" s="48" t="str"/>
    </x:row>
    <x:row r="177">
      <x:c r="A177" s="46" t="str">
        <x:v>Ankara</x:v>
      </x:c>
      <x:c r="B177" s="47" t="n">
        <x:v>4</x:v>
      </x:c>
      <x:c r="C177" s="47" t="str">
        <x:v>Ortalama ev fiyatı</x:v>
      </x:c>
      <x:c r="D177" s="47" t="str">
        <x:v>TL</x:v>
      </x:c>
      <x:c r="E177" s="47" t="n">
        <x:v>2026</x:v>
      </x:c>
      <x:c r="F177" s="47" t="n">
        <x:v>5027620</x:v>
      </x:c>
      <x:c r="G177" s="47" t="str">
        <x:v>Temmuz 2026 son gözlem</x:v>
      </x:c>
      <x:c r="H177" s="47" t="str">
        <x:v>Son piyasa gözlemi</x:v>
      </x:c>
      <x:c r="I177" s="47" t="str">
        <x:v>S12</x:v>
      </x:c>
      <x:c r="J177" s="47" t="str">
        <x:v>https://www.emlakjet.com/emlak-piyasasi/satilik-konut/ankara</x:v>
      </x:c>
      <x:c r="K177" s="48" t="str"/>
    </x:row>
    <x:row r="178">
      <x:c r="A178" s="46" t="str">
        <x:v>Ankara</x:v>
      </x:c>
      <x:c r="B178" s="47" t="n">
        <x:v>4</x:v>
      </x:c>
      <x:c r="C178" s="47" t="str">
        <x:v>Ortalama ev fiyatı</x:v>
      </x:c>
      <x:c r="D178" s="47" t="str">
        <x:v>TL</x:v>
      </x:c>
      <x:c r="E178" s="47" t="n">
        <x:v>2027</x:v>
      </x:c>
      <x:c r="F178" s="47" t="n">
        <x:v>5781763</x:v>
      </x:c>
      <x:c r="G178" s="47" t="str">
        <x:v>Tahmin</x:v>
      </x:c>
      <x:c r="H178" s="47" t="str">
        <x:v>Tahmin</x:v>
      </x:c>
      <x:c r="I178" s="47" t="str">
        <x:v>S12;S28;S29</x:v>
      </x:c>
      <x:c r="J178" s="47" t="str">
        <x:v>https://www.emlakjet.com/emlak-piyasasi/satilik-konut/ankara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78" s="48" t="str"/>
    </x:row>
    <x:row r="179">
      <x:c r="A179" s="46" t="str">
        <x:v>Ankara</x:v>
      </x:c>
      <x:c r="B179" s="47" t="n">
        <x:v>4</x:v>
      </x:c>
      <x:c r="C179" s="47" t="str">
        <x:v>Ortalama ev fiyatı</x:v>
      </x:c>
      <x:c r="D179" s="47" t="str">
        <x:v>TL</x:v>
      </x:c>
      <x:c r="E179" s="47" t="n">
        <x:v>2028</x:v>
      </x:c>
      <x:c r="F179" s="47" t="n">
        <x:v>6302121.670000001</x:v>
      </x:c>
      <x:c r="G179" s="47" t="str">
        <x:v>Tahmin</x:v>
      </x:c>
      <x:c r="H179" s="47" t="str">
        <x:v>Tahmin</x:v>
      </x:c>
      <x:c r="I179" s="47" t="str">
        <x:v>S12;S28;S29</x:v>
      </x:c>
      <x:c r="J179" s="47" t="str">
        <x:v>https://www.emlakjet.com/emlak-piyasasi/satilik-konut/ankara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79" s="48" t="str"/>
    </x:row>
    <x:row r="180">
      <x:c r="A180" s="46" t="str">
        <x:v>Ankara</x:v>
      </x:c>
      <x:c r="B180" s="47" t="n">
        <x:v>4</x:v>
      </x:c>
      <x:c r="C180" s="47" t="str">
        <x:v>Ortalama ev fiyatı</x:v>
      </x:c>
      <x:c r="D180" s="47" t="str">
        <x:v>TL</x:v>
      </x:c>
      <x:c r="E180" s="47" t="n">
        <x:v>2029</x:v>
      </x:c>
      <x:c r="F180" s="47" t="n">
        <x:v>6680248.970200001</x:v>
      </x:c>
      <x:c r="G180" s="47" t="str">
        <x:v>Tahmin</x:v>
      </x:c>
      <x:c r="H180" s="47" t="str">
        <x:v>Tahmin</x:v>
      </x:c>
      <x:c r="I180" s="47" t="str">
        <x:v>S12;S28;S29</x:v>
      </x:c>
      <x:c r="J180" s="47" t="str">
        <x:v>https://www.emlakjet.com/emlak-piyasasi/satilik-konut/ankara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80" s="48" t="str"/>
    </x:row>
    <x:row r="181">
      <x:c r="A181" s="46" t="str">
        <x:v>Ankara</x:v>
      </x:c>
      <x:c r="B181" s="47" t="n">
        <x:v>4</x:v>
      </x:c>
      <x:c r="C181" s="47" t="str">
        <x:v>Ortalama ev fiyatı</x:v>
      </x:c>
      <x:c r="D181" s="47" t="str">
        <x:v>TL</x:v>
      </x:c>
      <x:c r="E181" s="47" t="n">
        <x:v>2030</x:v>
      </x:c>
      <x:c r="F181" s="47" t="n">
        <x:v>7014261.418710002</x:v>
      </x:c>
      <x:c r="G181" s="47" t="str">
        <x:v>Tahmin</x:v>
      </x:c>
      <x:c r="H181" s="47" t="str">
        <x:v>Tahmin</x:v>
      </x:c>
      <x:c r="I181" s="47" t="str">
        <x:v>S12;S28;S29</x:v>
      </x:c>
      <x:c r="J181" s="47" t="str">
        <x:v>https://www.emlakjet.com/emlak-piyasasi/satilik-konut/ankara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81" s="48" t="str"/>
    </x:row>
    <x:row r="182">
      <x:c r="A182" s="46" t="str">
        <x:v>Ankara</x:v>
      </x:c>
      <x:c r="B182" s="47" t="n">
        <x:v>5</x:v>
      </x:c>
      <x:c r="C182" s="47" t="str">
        <x:v>Kiralanan ev sayısı (platform proxy)</x:v>
      </x:c>
      <x:c r="D182" s="47" t="str">
        <x:v>adet/yıl</x:v>
      </x:c>
      <x:c r="E182" s="47" t="n">
        <x:v>2022</x:v>
      </x:c>
      <x:c r="F182" s="47" t="n">
        <x:v>36561.912</x:v>
      </x:c>
      <x:c r="G182" s="47" t="str">
        <x:v>Tam yıl</x:v>
      </x:c>
      <x:c r="H182" s="47" t="str">
        <x:v>Platform proxy / yıllıklandırılmış</x:v>
      </x:c>
      <x:c r="I182" s="47" t="str">
        <x:v>S26</x:v>
      </x:c>
      <x:c r="J182" s="47" t="str">
        <x:v>https://www.dunya.com/sektorler/emlak/satilik-konut-fiyatlarindaki-artis-hizi-dusmeye-devam-ediyor-haberi-683075</x:v>
      </x:c>
      <x:c r="K182" s="48" t="str">
        <x:v>Resmî kira sözleşmesi adedi değildir; sahibindex/BETAM platform göstergesi yıllık proxy.</x:v>
      </x:c>
    </x:row>
    <x:row r="183">
      <x:c r="A183" s="46" t="str">
        <x:v>Ankara</x:v>
      </x:c>
      <x:c r="B183" s="47" t="n">
        <x:v>5</x:v>
      </x:c>
      <x:c r="C183" s="47" t="str">
        <x:v>Kiralanan ev sayısı (platform proxy)</x:v>
      </x:c>
      <x:c r="D183" s="47" t="str">
        <x:v>adet/yıl</x:v>
      </x:c>
      <x:c r="E183" s="47" t="n">
        <x:v>2023</x:v>
      </x:c>
      <x:c r="F183" s="47" t="n">
        <x:v>35664</x:v>
      </x:c>
      <x:c r="G183" s="47" t="str">
        <x:v>Tam yıl</x:v>
      </x:c>
      <x:c r="H183" s="47" t="str">
        <x:v>Platform proxy / yıllıklandırılmış</x:v>
      </x:c>
      <x:c r="I183" s="47" t="str">
        <x:v>S27</x:v>
      </x:c>
      <x:c r="J183" s="47" t="str">
        <x:v>https://image5.sahibinden.com/staticContent/969bb478/2309/451b/af82/d321e8a0a74d/1706003743.pdf</x:v>
      </x:c>
      <x:c r="K183" s="48" t="str">
        <x:v>Resmî kira sözleşmesi adedi değildir; sahibindex/BETAM platform göstergesi yıllık proxy.</x:v>
      </x:c>
    </x:row>
    <x:row r="184">
      <x:c r="A184" s="46" t="str">
        <x:v>Ankara</x:v>
      </x:c>
      <x:c r="B184" s="47" t="n">
        <x:v>5</x:v>
      </x:c>
      <x:c r="C184" s="47" t="str">
        <x:v>Kiralanan ev sayısı (platform proxy)</x:v>
      </x:c>
      <x:c r="D184" s="47" t="str">
        <x:v>adet/yıl</x:v>
      </x:c>
      <x:c r="E184" s="47" t="n">
        <x:v>2024</x:v>
      </x:c>
      <x:c r="F184" s="47" t="n">
        <x:v>37803.840000000004</x:v>
      </x:c>
      <x:c r="G184" s="47" t="str">
        <x:v>Tam yıl</x:v>
      </x:c>
      <x:c r="H184" s="47" t="str">
        <x:v>Model/Proxy</x:v>
      </x:c>
      <x:c r="I184" s="47" t="str">
        <x:v>S27;Model</x:v>
      </x:c>
      <x:c r="J184" s="47" t="str">
        <x:v>https://image5.sahibinden.com/staticContent/969bb478/2309/451b/af82/d321e8a0a74d/1706003743.pdf</x:v>
      </x:c>
      <x:c r="K184" s="48" t="str">
        <x:v>Resmî kira sözleşmesi adedi değildir; sahibindex/BETAM platform göstergesi yıllık proxy.</x:v>
      </x:c>
    </x:row>
    <x:row r="185">
      <x:c r="A185" s="46" t="str">
        <x:v>Ankara</x:v>
      </x:c>
      <x:c r="B185" s="47" t="n">
        <x:v>5</x:v>
      </x:c>
      <x:c r="C185" s="47" t="str">
        <x:v>Kiralanan ev sayısı (platform proxy)</x:v>
      </x:c>
      <x:c r="D185" s="47" t="str">
        <x:v>adet/yıl</x:v>
      </x:c>
      <x:c r="E185" s="47" t="n">
        <x:v>2025</x:v>
      </x:c>
      <x:c r="F185" s="47" t="n">
        <x:v>39694.03200000001</x:v>
      </x:c>
      <x:c r="G185" s="47" t="str">
        <x:v>Tam yıl</x:v>
      </x:c>
      <x:c r="H185" s="47" t="str">
        <x:v>Model/Proxy</x:v>
      </x:c>
      <x:c r="I185" s="47" t="str">
        <x:v>S27;Model</x:v>
      </x:c>
      <x:c r="J185" s="47" t="str">
        <x:v>https://image5.sahibinden.com/staticContent/969bb478/2309/451b/af82/d321e8a0a74d/1706003743.pdf</x:v>
      </x:c>
      <x:c r="K185" s="48" t="str">
        <x:v>Resmî kira sözleşmesi adedi değildir; sahibindex/BETAM platform göstergesi yıllık proxy.</x:v>
      </x:c>
    </x:row>
    <x:row r="186">
      <x:c r="A186" s="46" t="str">
        <x:v>Ankara</x:v>
      </x:c>
      <x:c r="B186" s="47" t="n">
        <x:v>5</x:v>
      </x:c>
      <x:c r="C186" s="47" t="str">
        <x:v>Kiralanan ev sayısı (platform proxy)</x:v>
      </x:c>
      <x:c r="D186" s="47" t="str">
        <x:v>adet/yıl</x:v>
      </x:c>
      <x:c r="E186" s="47" t="n">
        <x:v>2026</x:v>
      </x:c>
      <x:c r="F186" s="47" t="n">
        <x:v>41678.73360000001</x:v>
      </x:c>
      <x:c r="G186" s="47" t="str">
        <x:v>2026E</x:v>
      </x:c>
      <x:c r="H186" s="47" t="str">
        <x:v>Model/Proxy</x:v>
      </x:c>
      <x:c r="I186" s="47" t="str">
        <x:v>S27;Model</x:v>
      </x:c>
      <x:c r="J186" s="47" t="str">
        <x:v>https://image5.sahibinden.com/staticContent/969bb478/2309/451b/af82/d321e8a0a74d/1706003743.pdf</x:v>
      </x:c>
      <x:c r="K186" s="48" t="str">
        <x:v>Resmî kira sözleşmesi adedi değildir; sahibindex/BETAM platform göstergesi yıllık proxy.</x:v>
      </x:c>
    </x:row>
    <x:row r="187">
      <x:c r="A187" s="46" t="str">
        <x:v>Ankara</x:v>
      </x:c>
      <x:c r="B187" s="47" t="n">
        <x:v>5</x:v>
      </x:c>
      <x:c r="C187" s="47" t="str">
        <x:v>Kiralanan ev sayısı (platform proxy)</x:v>
      </x:c>
      <x:c r="D187" s="47" t="str">
        <x:v>adet/yıl</x:v>
      </x:c>
      <x:c r="E187" s="47" t="n">
        <x:v>2027</x:v>
      </x:c>
      <x:c r="F187" s="47" t="n">
        <x:v>42789.22267555454</x:v>
      </x:c>
      <x:c r="G187" s="47" t="str">
        <x:v>Tahmin</x:v>
      </x:c>
      <x:c r="H187" s="47" t="str">
        <x:v>Tahmin</x:v>
      </x:c>
      <x:c r="I187" s="47" t="str">
        <x:v>S27;S28;S29;Model</x:v>
      </x:c>
      <x:c r="J187" s="47" t="str">
        <x:v>https://image5.sahibinden.com/staticContent/969bb478/2309/451b/af82/d321e8a0a74d/1706003743.pdf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87" s="48" t="str">
        <x:v>Resmî kira sözleşmesi adedi değildir; sahibindex/BETAM platform göstergesi yıllık proxy.</x:v>
      </x:c>
    </x:row>
    <x:row r="188">
      <x:c r="A188" s="46" t="str">
        <x:v>Ankara</x:v>
      </x:c>
      <x:c r="B188" s="47" t="n">
        <x:v>5</x:v>
      </x:c>
      <x:c r="C188" s="47" t="str">
        <x:v>Kiralanan ev sayısı (platform proxy)</x:v>
      </x:c>
      <x:c r="D188" s="47" t="str">
        <x:v>adet/yıl</x:v>
      </x:c>
      <x:c r="E188" s="47" t="n">
        <x:v>2028</x:v>
      </x:c>
      <x:c r="F188" s="47" t="n">
        <x:v>43844.011890885806</x:v>
      </x:c>
      <x:c r="G188" s="47" t="str">
        <x:v>Tahmin</x:v>
      </x:c>
      <x:c r="H188" s="47" t="str">
        <x:v>Tahmin</x:v>
      </x:c>
      <x:c r="I188" s="47" t="str">
        <x:v>S27;S28;S29;Model</x:v>
      </x:c>
      <x:c r="J188" s="47" t="str">
        <x:v>https://image5.sahibinden.com/staticContent/969bb478/2309/451b/af82/d321e8a0a74d/1706003743.pdf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88" s="48" t="str">
        <x:v>Resmî kira sözleşmesi adedi değildir; sahibindex/BETAM platform göstergesi yıllık proxy.</x:v>
      </x:c>
    </x:row>
    <x:row r="189">
      <x:c r="A189" s="46" t="str">
        <x:v>Ankara</x:v>
      </x:c>
      <x:c r="B189" s="47" t="n">
        <x:v>5</x:v>
      </x:c>
      <x:c r="C189" s="47" t="str">
        <x:v>Kiralanan ev sayısı (platform proxy)</x:v>
      </x:c>
      <x:c r="D189" s="47" t="str">
        <x:v>adet/yıl</x:v>
      </x:c>
      <x:c r="E189" s="47" t="n">
        <x:v>2029</x:v>
      </x:c>
      <x:c r="F189" s="47" t="n">
        <x:v>44837.41235236217</x:v>
      </x:c>
      <x:c r="G189" s="47" t="str">
        <x:v>Tahmin</x:v>
      </x:c>
      <x:c r="H189" s="47" t="str">
        <x:v>Tahmin</x:v>
      </x:c>
      <x:c r="I189" s="47" t="str">
        <x:v>S27;S28;S29;Model</x:v>
      </x:c>
      <x:c r="J189" s="47" t="str">
        <x:v>https://image5.sahibinden.com/staticContent/969bb478/2309/451b/af82/d321e8a0a74d/1706003743.pdf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89" s="48" t="str">
        <x:v>Resmî kira sözleşmesi adedi değildir; sahibindex/BETAM platform göstergesi yıllık proxy.</x:v>
      </x:c>
    </x:row>
    <x:row r="190">
      <x:c r="A190" s="46" t="str">
        <x:v>Ankara</x:v>
      </x:c>
      <x:c r="B190" s="47" t="n">
        <x:v>5</x:v>
      </x:c>
      <x:c r="C190" s="47" t="str">
        <x:v>Kiralanan ev sayısı (platform proxy)</x:v>
      </x:c>
      <x:c r="D190" s="47" t="str">
        <x:v>adet/yıl</x:v>
      </x:c>
      <x:c r="E190" s="47" t="n">
        <x:v>2030</x:v>
      </x:c>
      <x:c r="F190" s="47" t="n">
        <x:v>45734.16059940941</x:v>
      </x:c>
      <x:c r="G190" s="47" t="str">
        <x:v>Tahmin</x:v>
      </x:c>
      <x:c r="H190" s="47" t="str">
        <x:v>Tahmin</x:v>
      </x:c>
      <x:c r="I190" s="47" t="str">
        <x:v>S27;S28;S29;Model</x:v>
      </x:c>
      <x:c r="J190" s="47" t="str">
        <x:v>https://image5.sahibinden.com/staticContent/969bb478/2309/451b/af82/d321e8a0a74d/1706003743.pdf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90" s="48" t="str">
        <x:v>Resmî kira sözleşmesi adedi değildir; sahibindex/BETAM platform göstergesi yıllık proxy.</x:v>
      </x:c>
    </x:row>
    <x:row r="191">
      <x:c r="A191" s="46" t="str">
        <x:v>Ankara</x:v>
      </x:c>
      <x:c r="B191" s="47" t="n">
        <x:v>6</x:v>
      </x:c>
      <x:c r="C191" s="47" t="str">
        <x:v>Ortalama kiralanan alan (ima edilen)</x:v>
      </x:c>
      <x:c r="D191" s="47" t="str">
        <x:v>m²</x:v>
      </x:c>
      <x:c r="E191" s="47" t="n">
        <x:v>2022</x:v>
      </x:c>
      <x:c r="F191" s="47" t="n">
        <x:v>114.78035757624788</x:v>
      </x:c>
      <x:c r="G191" s="47" t="str">
        <x:v>Yıl sonu / rapor dönemi</x:v>
      </x:c>
      <x:c r="H191" s="47" t="str">
        <x:v>Türetilmiş</x:v>
      </x:c>
      <x:c r="I191" s="47" t="str">
        <x:v>S14;S21</x:v>
      </x:c>
      <x:c r="J191" s="47" t="str">
        <x:v>https://www.gayrimenkulhaber.com/guncel/endeksa-acikladi-aralik-ayinda-kira-artisi-hiz-kesti-bazi-bolgelerde-dususler-var/ ; https://betam.bahcesehir.edu.tr/2023/01/sahibindex-kiralik-konut-piyasasi-gorunumu-ocak-2023/</x:v>
      </x:c>
      <x:c r="K191" s="48" t="str">
        <x:v>Ortalama kira / kiralık m² fiyatı ile çapraz-kaynak ima edilen alan.</x:v>
      </x:c>
    </x:row>
    <x:row r="192">
      <x:c r="A192" s="46" t="str">
        <x:v>Ankara</x:v>
      </x:c>
      <x:c r="B192" s="47" t="n">
        <x:v>6</x:v>
      </x:c>
      <x:c r="C192" s="47" t="str">
        <x:v>Ortalama kiralanan alan (ima edilen)</x:v>
      </x:c>
      <x:c r="D192" s="47" t="str">
        <x:v>m²</x:v>
      </x:c>
      <x:c r="E192" s="47" t="n">
        <x:v>2023</x:v>
      </x:c>
      <x:c r="F192" s="47" t="n">
        <x:v>120.03384094754652</x:v>
      </x:c>
      <x:c r="G192" s="47" t="str">
        <x:v>Yıl sonu / rapor dönemi</x:v>
      </x:c>
      <x:c r="H192" s="47" t="str">
        <x:v>Türetilmiş</x:v>
      </x:c>
      <x:c r="I192" s="47" t="str">
        <x:v>S14;S22</x:v>
      </x:c>
      <x:c r="J192" s="47" t="str">
        <x:v>https://www.gayrimenkulhaber.com/guncel/endeksa-acikladi-aralik-ayinda-kira-artisi-hiz-kesti-bazi-bolgelerde-dususler-var/ ; https://betam.bahcesehir.edu.tr/2024/01/sahibindex-kiralik-konut-piyasasi-gorunumu-ocak-2024/</x:v>
      </x:c>
      <x:c r="K192" s="48" t="str">
        <x:v>Ortalama kira / kiralık m² fiyatı ile çapraz-kaynak ima edilen alan.</x:v>
      </x:c>
    </x:row>
    <x:row r="193">
      <x:c r="A193" s="46" t="str">
        <x:v>Ankara</x:v>
      </x:c>
      <x:c r="B193" s="47" t="n">
        <x:v>6</x:v>
      </x:c>
      <x:c r="C193" s="47" t="str">
        <x:v>Ortalama kiralanan alan (ima edilen)</x:v>
      </x:c>
      <x:c r="D193" s="47" t="str">
        <x:v>m²</x:v>
      </x:c>
      <x:c r="E193" s="47" t="n">
        <x:v>2024</x:v>
      </x:c>
      <x:c r="F193" s="47" t="n">
        <x:v>119.77031799094279</x:v>
      </x:c>
      <x:c r="G193" s="47" t="str">
        <x:v>Yıl sonu / rapor dönemi</x:v>
      </x:c>
      <x:c r="H193" s="47" t="str">
        <x:v>Türetilmiş</x:v>
      </x:c>
      <x:c r="I193" s="47" t="str">
        <x:v>S15;S23</x:v>
      </x:c>
      <x:c r="J193" s="47" t="str">
        <x:v>https://www.gayrimenkulhaber.com/guncel/endeksa-2024-yillik-gayrimenkul-deger-raporu-yayimlandi/ ; https://betam.bahcesehir.edu.tr/2026/01/sahibindex-kiralik-konut-piyasasi-gorunumu-ocak-2026/</x:v>
      </x:c>
      <x:c r="K193" s="48" t="str">
        <x:v>Ortalama kira / kiralık m² fiyatı ile çapraz-kaynak ima edilen alan.</x:v>
      </x:c>
    </x:row>
    <x:row r="194">
      <x:c r="A194" s="46" t="str">
        <x:v>Ankara</x:v>
      </x:c>
      <x:c r="B194" s="47" t="n">
        <x:v>6</x:v>
      </x:c>
      <x:c r="C194" s="47" t="str">
        <x:v>Ortalama kiralanan alan (ima edilen)</x:v>
      </x:c>
      <x:c r="D194" s="47" t="str">
        <x:v>m²</x:v>
      </x:c>
      <x:c r="E194" s="47" t="n">
        <x:v>2025</x:v>
      </x:c>
      <x:c r="F194" s="47" t="n">
        <x:v>119.77031799094279</x:v>
      </x:c>
      <x:c r="G194" s="47" t="str">
        <x:v>Yıl sonu / rapor dönemi</x:v>
      </x:c>
      <x:c r="H194" s="47" t="str">
        <x:v>Türetilmiş</x:v>
      </x:c>
      <x:c r="I194" s="47" t="str">
        <x:v>S15;S23;S23</x:v>
      </x:c>
      <x:c r="J194" s="47" t="str">
        <x:v>https://www.gayrimenkulhaber.com/guncel/endeksa-2024-yillik-gayrimenkul-deger-raporu-yayimlandi/ ; https://betam.bahcesehir.edu.tr/2026/01/sahibindex-kiralik-konut-piyasasi-gorunumu-ocak-2026/ ; https://betam.bahcesehir.edu.tr/2026/01/sahibindex-kiralik-konut-piyasasi-gorunumu-ocak-2026/</x:v>
      </x:c>
      <x:c r="K194" s="48" t="str">
        <x:v>Ortalama kira / kiralık m² fiyatı ile çapraz-kaynak ima edilen alan.</x:v>
      </x:c>
    </x:row>
    <x:row r="195">
      <x:c r="A195" s="46" t="str">
        <x:v>Ankara</x:v>
      </x:c>
      <x:c r="B195" s="47" t="n">
        <x:v>6</x:v>
      </x:c>
      <x:c r="C195" s="47" t="str">
        <x:v>Ortalama kiralanan alan (ima edilen)</x:v>
      </x:c>
      <x:c r="D195" s="47" t="str">
        <x:v>m²</x:v>
      </x:c>
      <x:c r="E195" s="47" t="n">
        <x:v>2026</x:v>
      </x:c>
      <x:c r="F195" s="47" t="n">
        <x:v>114.43726623597415</x:v>
      </x:c>
      <x:c r="G195" s="47" t="str">
        <x:v>Temmuz 2026 son gözlem</x:v>
      </x:c>
      <x:c r="H195" s="47" t="str">
        <x:v>Türetilmiş</x:v>
      </x:c>
      <x:c r="I195" s="47" t="str">
        <x:v>S19;S24</x:v>
      </x:c>
      <x:c r="J195" s="47" t="str">
        <x:v>https://www.emlakjet.com/satilik-konut/ankara ; https://www.cnbce.com/gayrimenkul/konut-piyasasinda-temmuz-hareketliligi-kiralikta-talep-artti-kiralar-reel-olarak-dustu-g36014</x:v>
      </x:c>
      <x:c r="K195" s="48" t="str">
        <x:v>Ortalama kira / kiralık m² fiyatı ile çapraz-kaynak ima edilen alan.</x:v>
      </x:c>
    </x:row>
    <x:row r="196">
      <x:c r="A196" s="46" t="str">
        <x:v>Ankara</x:v>
      </x:c>
      <x:c r="B196" s="47" t="n">
        <x:v>6</x:v>
      </x:c>
      <x:c r="C196" s="47" t="str">
        <x:v>Ortalama kiralanan alan (ima edilen)</x:v>
      </x:c>
      <x:c r="D196" s="47" t="str">
        <x:v>m²</x:v>
      </x:c>
      <x:c r="E196" s="47" t="n">
        <x:v>2027</x:v>
      </x:c>
      <x:c r="F196" s="47" t="n">
        <x:v>114.43726623597415</x:v>
      </x:c>
      <x:c r="G196" s="47" t="str">
        <x:v>Tahmin</x:v>
      </x:c>
      <x:c r="H196" s="47" t="str">
        <x:v>Tahmin</x:v>
      </x:c>
      <x:c r="I196" s="47" t="str">
        <x:v>S19;S24;S28;S29;S24;S28;S29</x:v>
      </x:c>
      <x:c r="J196" s="47" t="str">
        <x:v>https://www.emlakjet.com/satilik-konut/ankara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96" s="48" t="str">
        <x:v>Ortalama kira / kiralık m² fiyatı ile çapraz-kaynak ima edilen alan.</x:v>
      </x:c>
    </x:row>
    <x:row r="197">
      <x:c r="A197" s="46" t="str">
        <x:v>Ankara</x:v>
      </x:c>
      <x:c r="B197" s="47" t="n">
        <x:v>6</x:v>
      </x:c>
      <x:c r="C197" s="47" t="str">
        <x:v>Ortalama kiralanan alan (ima edilen)</x:v>
      </x:c>
      <x:c r="D197" s="47" t="str">
        <x:v>m²</x:v>
      </x:c>
      <x:c r="E197" s="47" t="n">
        <x:v>2028</x:v>
      </x:c>
      <x:c r="F197" s="47" t="n">
        <x:v>114.43726623597415</x:v>
      </x:c>
      <x:c r="G197" s="47" t="str">
        <x:v>Tahmin</x:v>
      </x:c>
      <x:c r="H197" s="47" t="str">
        <x:v>Tahmin</x:v>
      </x:c>
      <x:c r="I197" s="47" t="str">
        <x:v>S19;S24;S28;S29;S24;S28;S29</x:v>
      </x:c>
      <x:c r="J197" s="47" t="str">
        <x:v>https://www.emlakjet.com/satilik-konut/ankara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97" s="48" t="str">
        <x:v>Ortalama kira / kiralık m² fiyatı ile çapraz-kaynak ima edilen alan.</x:v>
      </x:c>
    </x:row>
    <x:row r="198">
      <x:c r="A198" s="46" t="str">
        <x:v>Ankara</x:v>
      </x:c>
      <x:c r="B198" s="47" t="n">
        <x:v>6</x:v>
      </x:c>
      <x:c r="C198" s="47" t="str">
        <x:v>Ortalama kiralanan alan (ima edilen)</x:v>
      </x:c>
      <x:c r="D198" s="47" t="str">
        <x:v>m²</x:v>
      </x:c>
      <x:c r="E198" s="47" t="n">
        <x:v>2029</x:v>
      </x:c>
      <x:c r="F198" s="47" t="n">
        <x:v>114.43726623597415</x:v>
      </x:c>
      <x:c r="G198" s="47" t="str">
        <x:v>Tahmin</x:v>
      </x:c>
      <x:c r="H198" s="47" t="str">
        <x:v>Tahmin</x:v>
      </x:c>
      <x:c r="I198" s="47" t="str">
        <x:v>S19;S24;S28;S29;S24;S28;S29</x:v>
      </x:c>
      <x:c r="J198" s="47" t="str">
        <x:v>https://www.emlakjet.com/satilik-konut/ankara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98" s="48" t="str">
        <x:v>Ortalama kira / kiralık m² fiyatı ile çapraz-kaynak ima edilen alan.</x:v>
      </x:c>
    </x:row>
    <x:row r="199">
      <x:c r="A199" s="46" t="str">
        <x:v>Ankara</x:v>
      </x:c>
      <x:c r="B199" s="47" t="n">
        <x:v>6</x:v>
      </x:c>
      <x:c r="C199" s="47" t="str">
        <x:v>Ortalama kiralanan alan (ima edilen)</x:v>
      </x:c>
      <x:c r="D199" s="47" t="str">
        <x:v>m²</x:v>
      </x:c>
      <x:c r="E199" s="47" t="n">
        <x:v>2030</x:v>
      </x:c>
      <x:c r="F199" s="47" t="n">
        <x:v>114.43726623597415</x:v>
      </x:c>
      <x:c r="G199" s="47" t="str">
        <x:v>Tahmin</x:v>
      </x:c>
      <x:c r="H199" s="47" t="str">
        <x:v>Tahmin</x:v>
      </x:c>
      <x:c r="I199" s="47" t="str">
        <x:v>S19;S24;S28;S29;S24;S28;S29</x:v>
      </x:c>
      <x:c r="J199" s="47" t="str">
        <x:v>https://www.emlakjet.com/satilik-konut/ankara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199" s="48" t="str">
        <x:v>Ortalama kira / kiralık m² fiyatı ile çapraz-kaynak ima edilen alan.</x:v>
      </x:c>
    </x:row>
    <x:row r="200">
      <x:c r="A200" s="46" t="str">
        <x:v>Ankara</x:v>
      </x:c>
      <x:c r="B200" s="47" t="n">
        <x:v>7</x:v>
      </x:c>
      <x:c r="C200" s="47" t="str">
        <x:v>Ortalama kiralık m² fiyatı</x:v>
      </x:c>
      <x:c r="D200" s="47" t="str">
        <x:v>TL/m²/ay</x:v>
      </x:c>
      <x:c r="E200" s="47" t="n">
        <x:v>2022</x:v>
      </x:c>
      <x:c r="F200" s="47" t="n">
        <x:v>47</x:v>
      </x:c>
      <x:c r="G200" s="47" t="str">
        <x:v>Yıl sonu / rapor dönemi</x:v>
      </x:c>
      <x:c r="H200" s="47" t="str">
        <x:v>Piyasa verisi</x:v>
      </x:c>
      <x:c r="I200" s="47" t="str">
        <x:v>S21</x:v>
      </x:c>
      <x:c r="J200" s="47" t="str">
        <x:v>https://betam.bahcesehir.edu.tr/2023/01/sahibindex-kiralik-konut-piyasasi-gorunumu-ocak-2023/</x:v>
      </x:c>
      <x:c r="K200" s="48" t="str"/>
    </x:row>
    <x:row r="201">
      <x:c r="A201" s="46" t="str">
        <x:v>Ankara</x:v>
      </x:c>
      <x:c r="B201" s="47" t="n">
        <x:v>7</x:v>
      </x:c>
      <x:c r="C201" s="47" t="str">
        <x:v>Ortalama kiralık m² fiyatı</x:v>
      </x:c>
      <x:c r="D201" s="47" t="str">
        <x:v>TL/m²/ay</x:v>
      </x:c>
      <x:c r="E201" s="47" t="n">
        <x:v>2023</x:v>
      </x:c>
      <x:c r="F201" s="47" t="n">
        <x:v>118.2</x:v>
      </x:c>
      <x:c r="G201" s="47" t="str">
        <x:v>Yıl sonu / rapor dönemi</x:v>
      </x:c>
      <x:c r="H201" s="47" t="str">
        <x:v>Piyasa verisi</x:v>
      </x:c>
      <x:c r="I201" s="47" t="str">
        <x:v>S22</x:v>
      </x:c>
      <x:c r="J201" s="47" t="str">
        <x:v>https://betam.bahcesehir.edu.tr/2024/01/sahibindex-kiralik-konut-piyasasi-gorunumu-ocak-2024/</x:v>
      </x:c>
      <x:c r="K201" s="48" t="str"/>
    </x:row>
    <x:row r="202">
      <x:c r="A202" s="46" t="str">
        <x:v>Ankara</x:v>
      </x:c>
      <x:c r="B202" s="47" t="n">
        <x:v>7</x:v>
      </x:c>
      <x:c r="C202" s="47" t="str">
        <x:v>Ortalama kiralık m² fiyatı</x:v>
      </x:c>
      <x:c r="D202" s="47" t="str">
        <x:v>TL/m²/ay</x:v>
      </x:c>
      <x:c r="E202" s="47" t="n">
        <x:v>2024</x:v>
      </x:c>
      <x:c r="F202" s="47" t="n">
        <x:v>180.05930318754633</x:v>
      </x:c>
      <x:c r="G202" s="47" t="str">
        <x:v>Yıl sonu / rapor dönemi</x:v>
      </x:c>
      <x:c r="H202" s="47" t="str">
        <x:v>Türetilmiş / geriye hesap</x:v>
      </x:c>
      <x:c r="I202" s="47" t="str">
        <x:v>S23</x:v>
      </x:c>
      <x:c r="J202" s="47" t="str">
        <x:v>https://betam.bahcesehir.edu.tr/2026/01/sahibindex-kiralik-konut-piyasasi-gorunumu-ocak-2026/</x:v>
      </x:c>
      <x:c r="K202" s="48" t="str"/>
    </x:row>
    <x:row r="203">
      <x:c r="A203" s="46" t="str">
        <x:v>Ankara</x:v>
      </x:c>
      <x:c r="B203" s="47" t="n">
        <x:v>7</x:v>
      </x:c>
      <x:c r="C203" s="47" t="str">
        <x:v>Ortalama kiralık m² fiyatı</x:v>
      </x:c>
      <x:c r="D203" s="47" t="str">
        <x:v>TL/m²/ay</x:v>
      </x:c>
      <x:c r="E203" s="47" t="n">
        <x:v>2025</x:v>
      </x:c>
      <x:c r="F203" s="47" t="n">
        <x:v>242.9</x:v>
      </x:c>
      <x:c r="G203" s="47" t="str">
        <x:v>Yıl sonu / rapor dönemi</x:v>
      </x:c>
      <x:c r="H203" s="47" t="str">
        <x:v>Piyasa verisi</x:v>
      </x:c>
      <x:c r="I203" s="47" t="str">
        <x:v>S23</x:v>
      </x:c>
      <x:c r="J203" s="47" t="str">
        <x:v>https://betam.bahcesehir.edu.tr/2026/01/sahibindex-kiralik-konut-piyasasi-gorunumu-ocak-2026/</x:v>
      </x:c>
      <x:c r="K203" s="48" t="str"/>
    </x:row>
    <x:row r="204">
      <x:c r="A204" s="46" t="str">
        <x:v>Ankara</x:v>
      </x:c>
      <x:c r="B204" s="47" t="n">
        <x:v>7</x:v>
      </x:c>
      <x:c r="C204" s="47" t="str">
        <x:v>Ortalama kiralık m² fiyatı</x:v>
      </x:c>
      <x:c r="D204" s="47" t="str">
        <x:v>TL/m²/ay</x:v>
      </x:c>
      <x:c r="E204" s="47" t="n">
        <x:v>2026</x:v>
      </x:c>
      <x:c r="F204" s="47" t="n">
        <x:v>294.1</x:v>
      </x:c>
      <x:c r="G204" s="47" t="str">
        <x:v>Temmuz 2026 son gözlem</x:v>
      </x:c>
      <x:c r="H204" s="47" t="str">
        <x:v>Son piyasa gözlemi</x:v>
      </x:c>
      <x:c r="I204" s="47" t="str">
        <x:v>S24</x:v>
      </x:c>
      <x:c r="J204" s="47" t="str">
        <x:v>https://www.cnbce.com/gayrimenkul/konut-piyasasinda-temmuz-hareketliligi-kiralikta-talep-artti-kiralar-reel-olarak-dustu-g36014</x:v>
      </x:c>
      <x:c r="K204" s="48" t="str"/>
    </x:row>
    <x:row r="205">
      <x:c r="A205" s="46" t="str">
        <x:v>Ankara</x:v>
      </x:c>
      <x:c r="B205" s="47" t="n">
        <x:v>7</x:v>
      </x:c>
      <x:c r="C205" s="47" t="str">
        <x:v>Ortalama kiralık m² fiyatı</x:v>
      </x:c>
      <x:c r="D205" s="47" t="str">
        <x:v>TL/m²/ay</x:v>
      </x:c>
      <x:c r="E205" s="47" t="n">
        <x:v>2027</x:v>
      </x:c>
      <x:c r="F205" s="47" t="n">
        <x:v>338.215</x:v>
      </x:c>
      <x:c r="G205" s="47" t="str">
        <x:v>Tahmin</x:v>
      </x:c>
      <x:c r="H205" s="47" t="str">
        <x:v>Tahmin</x:v>
      </x:c>
      <x:c r="I205" s="47" t="str">
        <x:v>S24;S28;S29</x:v>
      </x:c>
      <x:c r="J205" s="47" t="str">
        <x:v>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05" s="48" t="str">
        <x:v>Nominal fiyat patikası: 2027 %15, 2028 %9, 2029 %6, 2030 %5.</x:v>
      </x:c>
    </x:row>
    <x:row r="206">
      <x:c r="A206" s="46" t="str">
        <x:v>Ankara</x:v>
      </x:c>
      <x:c r="B206" s="47" t="n">
        <x:v>7</x:v>
      </x:c>
      <x:c r="C206" s="47" t="str">
        <x:v>Ortalama kiralık m² fiyatı</x:v>
      </x:c>
      <x:c r="D206" s="47" t="str">
        <x:v>TL/m²/ay</x:v>
      </x:c>
      <x:c r="E206" s="47" t="n">
        <x:v>2028</x:v>
      </x:c>
      <x:c r="F206" s="47" t="n">
        <x:v>368.65435</x:v>
      </x:c>
      <x:c r="G206" s="47" t="str">
        <x:v>Tahmin</x:v>
      </x:c>
      <x:c r="H206" s="47" t="str">
        <x:v>Tahmin</x:v>
      </x:c>
      <x:c r="I206" s="47" t="str">
        <x:v>S24;S28;S29</x:v>
      </x:c>
      <x:c r="J206" s="47" t="str">
        <x:v>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06" s="48" t="str">
        <x:v>Nominal fiyat patikası: 2027 %15, 2028 %9, 2029 %6, 2030 %5.</x:v>
      </x:c>
    </x:row>
    <x:row r="207">
      <x:c r="A207" s="46" t="str">
        <x:v>Ankara</x:v>
      </x:c>
      <x:c r="B207" s="47" t="n">
        <x:v>7</x:v>
      </x:c>
      <x:c r="C207" s="47" t="str">
        <x:v>Ortalama kiralık m² fiyatı</x:v>
      </x:c>
      <x:c r="D207" s="47" t="str">
        <x:v>TL/m²/ay</x:v>
      </x:c>
      <x:c r="E207" s="47" t="n">
        <x:v>2029</x:v>
      </x:c>
      <x:c r="F207" s="47" t="n">
        <x:v>390.773611</x:v>
      </x:c>
      <x:c r="G207" s="47" t="str">
        <x:v>Tahmin</x:v>
      </x:c>
      <x:c r="H207" s="47" t="str">
        <x:v>Tahmin</x:v>
      </x:c>
      <x:c r="I207" s="47" t="str">
        <x:v>S24;S28;S29</x:v>
      </x:c>
      <x:c r="J207" s="47" t="str">
        <x:v>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07" s="48" t="str">
        <x:v>Nominal fiyat patikası: 2027 %15, 2028 %9, 2029 %6, 2030 %5.</x:v>
      </x:c>
    </x:row>
    <x:row r="208">
      <x:c r="A208" s="46" t="str">
        <x:v>Ankara</x:v>
      </x:c>
      <x:c r="B208" s="47" t="n">
        <x:v>7</x:v>
      </x:c>
      <x:c r="C208" s="47" t="str">
        <x:v>Ortalama kiralık m² fiyatı</x:v>
      </x:c>
      <x:c r="D208" s="47" t="str">
        <x:v>TL/m²/ay</x:v>
      </x:c>
      <x:c r="E208" s="47" t="n">
        <x:v>2030</x:v>
      </x:c>
      <x:c r="F208" s="47" t="n">
        <x:v>410.31229155000005</x:v>
      </x:c>
      <x:c r="G208" s="47" t="str">
        <x:v>Tahmin</x:v>
      </x:c>
      <x:c r="H208" s="47" t="str">
        <x:v>Tahmin</x:v>
      </x:c>
      <x:c r="I208" s="47" t="str">
        <x:v>S24;S28;S29</x:v>
      </x:c>
      <x:c r="J208" s="47" t="str">
        <x:v>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08" s="48" t="str">
        <x:v>Nominal fiyat patikası: 2027 %15, 2028 %9, 2029 %6, 2030 %5.</x:v>
      </x:c>
    </x:row>
    <x:row r="209">
      <x:c r="A209" s="46" t="str">
        <x:v>Ankara</x:v>
      </x:c>
      <x:c r="B209" s="47" t="n">
        <x:v>8</x:v>
      </x:c>
      <x:c r="C209" s="47" t="str">
        <x:v>Ortalama kira fiyatı</x:v>
      </x:c>
      <x:c r="D209" s="47" t="str">
        <x:v>TL/ay</x:v>
      </x:c>
      <x:c r="E209" s="47" t="n">
        <x:v>2022</x:v>
      </x:c>
      <x:c r="F209" s="47" t="n">
        <x:v>5394.67680608365</x:v>
      </x:c>
      <x:c r="G209" s="47" t="str">
        <x:v>Yıl sonu / rapor dönemi</x:v>
      </x:c>
      <x:c r="H209" s="47" t="str">
        <x:v>Türetilmiş / geriye hesap</x:v>
      </x:c>
      <x:c r="I209" s="47" t="str">
        <x:v>S14</x:v>
      </x:c>
      <x:c r="J209" s="47" t="str">
        <x:v>https://www.gayrimenkulhaber.com/guncel/endeksa-acikladi-aralik-ayinda-kira-artisi-hiz-kesti-bazi-bolgelerde-dususler-var/</x:v>
      </x:c>
      <x:c r="K209" s="48" t="str"/>
    </x:row>
    <x:row r="210">
      <x:c r="A210" s="46" t="str">
        <x:v>Ankara</x:v>
      </x:c>
      <x:c r="B210" s="47" t="n">
        <x:v>8</x:v>
      </x:c>
      <x:c r="C210" s="47" t="str">
        <x:v>Ortalama kira fiyatı</x:v>
      </x:c>
      <x:c r="D210" s="47" t="str">
        <x:v>TL/ay</x:v>
      </x:c>
      <x:c r="E210" s="47" t="n">
        <x:v>2023</x:v>
      </x:c>
      <x:c r="F210" s="47" t="n">
        <x:v>14188</x:v>
      </x:c>
      <x:c r="G210" s="47" t="str">
        <x:v>Yıl sonu / rapor dönemi</x:v>
      </x:c>
      <x:c r="H210" s="47" t="str">
        <x:v>Piyasa verisi</x:v>
      </x:c>
      <x:c r="I210" s="47" t="str">
        <x:v>S14</x:v>
      </x:c>
      <x:c r="J210" s="47" t="str">
        <x:v>https://www.gayrimenkulhaber.com/guncel/endeksa-acikladi-aralik-ayinda-kira-artisi-hiz-kesti-bazi-bolgelerde-dususler-var/</x:v>
      </x:c>
      <x:c r="K210" s="48" t="str"/>
    </x:row>
    <x:row r="211">
      <x:c r="A211" s="46" t="str">
        <x:v>Ankara</x:v>
      </x:c>
      <x:c r="B211" s="47" t="n">
        <x:v>8</x:v>
      </x:c>
      <x:c r="C211" s="47" t="str">
        <x:v>Ortalama kira fiyatı</x:v>
      </x:c>
      <x:c r="D211" s="47" t="str">
        <x:v>TL/ay</x:v>
      </x:c>
      <x:c r="E211" s="47" t="n">
        <x:v>2024</x:v>
      </x:c>
      <x:c r="F211" s="47" t="n">
        <x:v>21565.760000000002</x:v>
      </x:c>
      <x:c r="G211" s="47" t="str">
        <x:v>Yıl sonu / rapor dönemi</x:v>
      </x:c>
      <x:c r="H211" s="47" t="str">
        <x:v>Türetilmiş / model</x:v>
      </x:c>
      <x:c r="I211" s="47" t="str">
        <x:v>S15</x:v>
      </x:c>
      <x:c r="J211" s="47" t="str">
        <x:v>https://www.gayrimenkulhaber.com/guncel/endeksa-2024-yillik-gayrimenkul-deger-raporu-yayimlandi/</x:v>
      </x:c>
      <x:c r="K211" s="48" t="str"/>
    </x:row>
    <x:row r="212">
      <x:c r="A212" s="46" t="str">
        <x:v>Ankara</x:v>
      </x:c>
      <x:c r="B212" s="47" t="n">
        <x:v>8</x:v>
      </x:c>
      <x:c r="C212" s="47" t="str">
        <x:v>Ortalama kira fiyatı</x:v>
      </x:c>
      <x:c r="D212" s="47" t="str">
        <x:v>TL/ay</x:v>
      </x:c>
      <x:c r="E212" s="47" t="n">
        <x:v>2025</x:v>
      </x:c>
      <x:c r="F212" s="47" t="n">
        <x:v>29092.210240000004</x:v>
      </x:c>
      <x:c r="G212" s="47" t="str">
        <x:v>Yıl sonu / rapor dönemi</x:v>
      </x:c>
      <x:c r="H212" s="47" t="str">
        <x:v>Türetilmiş / model</x:v>
      </x:c>
      <x:c r="I212" s="47" t="str">
        <x:v>S15;S23</x:v>
      </x:c>
      <x:c r="J212" s="47" t="str">
        <x:v>https://www.gayrimenkulhaber.com/guncel/endeksa-2024-yillik-gayrimenkul-deger-raporu-yayimlandi/ ; https://betam.bahcesehir.edu.tr/2026/01/sahibindex-kiralik-konut-piyasasi-gorunumu-ocak-2026/</x:v>
      </x:c>
      <x:c r="K212" s="48" t="str"/>
    </x:row>
    <x:row r="213">
      <x:c r="A213" s="46" t="str">
        <x:v>Ankara</x:v>
      </x:c>
      <x:c r="B213" s="47" t="n">
        <x:v>8</x:v>
      </x:c>
      <x:c r="C213" s="47" t="str">
        <x:v>Ortalama kira fiyatı</x:v>
      </x:c>
      <x:c r="D213" s="47" t="str">
        <x:v>TL/ay</x:v>
      </x:c>
      <x:c r="E213" s="47" t="n">
        <x:v>2026</x:v>
      </x:c>
      <x:c r="F213" s="47" t="n">
        <x:v>33656</x:v>
      </x:c>
      <x:c r="G213" s="47" t="str">
        <x:v>Temmuz 2026 son gözlem</x:v>
      </x:c>
      <x:c r="H213" s="47" t="str">
        <x:v>Son piyasa gözlemi</x:v>
      </x:c>
      <x:c r="I213" s="47" t="str">
        <x:v>S19</x:v>
      </x:c>
      <x:c r="J213" s="47" t="str">
        <x:v>https://www.emlakjet.com/satilik-konut/ankara</x:v>
      </x:c>
      <x:c r="K213" s="48" t="str"/>
    </x:row>
    <x:row r="214">
      <x:c r="A214" s="46" t="str">
        <x:v>Ankara</x:v>
      </x:c>
      <x:c r="B214" s="47" t="n">
        <x:v>8</x:v>
      </x:c>
      <x:c r="C214" s="47" t="str">
        <x:v>Ortalama kira fiyatı</x:v>
      </x:c>
      <x:c r="D214" s="47" t="str">
        <x:v>TL/ay</x:v>
      </x:c>
      <x:c r="E214" s="47" t="n">
        <x:v>2027</x:v>
      </x:c>
      <x:c r="F214" s="47" t="n">
        <x:v>38704.399999999994</x:v>
      </x:c>
      <x:c r="G214" s="47" t="str">
        <x:v>Tahmin</x:v>
      </x:c>
      <x:c r="H214" s="47" t="str">
        <x:v>Tahmin</x:v>
      </x:c>
      <x:c r="I214" s="47" t="str">
        <x:v>S19;S24;S28;S29</x:v>
      </x:c>
      <x:c r="J214" s="47" t="str">
        <x:v>https://www.emlakjet.com/satilik-konut/ankara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14" s="48" t="str"/>
    </x:row>
    <x:row r="215">
      <x:c r="A215" s="46" t="str">
        <x:v>Ankara</x:v>
      </x:c>
      <x:c r="B215" s="47" t="n">
        <x:v>8</x:v>
      </x:c>
      <x:c r="C215" s="47" t="str">
        <x:v>Ortalama kira fiyatı</x:v>
      </x:c>
      <x:c r="D215" s="47" t="str">
        <x:v>TL/ay</x:v>
      </x:c>
      <x:c r="E215" s="47" t="n">
        <x:v>2028</x:v>
      </x:c>
      <x:c r="F215" s="47" t="n">
        <x:v>42187.796</x:v>
      </x:c>
      <x:c r="G215" s="47" t="str">
        <x:v>Tahmin</x:v>
      </x:c>
      <x:c r="H215" s="47" t="str">
        <x:v>Tahmin</x:v>
      </x:c>
      <x:c r="I215" s="47" t="str">
        <x:v>S19;S24;S28;S29</x:v>
      </x:c>
      <x:c r="J215" s="47" t="str">
        <x:v>https://www.emlakjet.com/satilik-konut/ankara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15" s="48" t="str"/>
    </x:row>
    <x:row r="216">
      <x:c r="A216" s="46" t="str">
        <x:v>Ankara</x:v>
      </x:c>
      <x:c r="B216" s="47" t="n">
        <x:v>8</x:v>
      </x:c>
      <x:c r="C216" s="47" t="str">
        <x:v>Ortalama kira fiyatı</x:v>
      </x:c>
      <x:c r="D216" s="47" t="str">
        <x:v>TL/ay</x:v>
      </x:c>
      <x:c r="E216" s="47" t="n">
        <x:v>2029</x:v>
      </x:c>
      <x:c r="F216" s="47" t="n">
        <x:v>44719.06376</x:v>
      </x:c>
      <x:c r="G216" s="47" t="str">
        <x:v>Tahmin</x:v>
      </x:c>
      <x:c r="H216" s="47" t="str">
        <x:v>Tahmin</x:v>
      </x:c>
      <x:c r="I216" s="47" t="str">
        <x:v>S19;S24;S28;S29</x:v>
      </x:c>
      <x:c r="J216" s="47" t="str">
        <x:v>https://www.emlakjet.com/satilik-konut/ankara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16" s="48" t="str"/>
    </x:row>
    <x:row r="217">
      <x:c r="A217" s="46" t="str">
        <x:v>Ankara</x:v>
      </x:c>
      <x:c r="B217" s="47" t="n">
        <x:v>8</x:v>
      </x:c>
      <x:c r="C217" s="47" t="str">
        <x:v>Ortalama kira fiyatı</x:v>
      </x:c>
      <x:c r="D217" s="47" t="str">
        <x:v>TL/ay</x:v>
      </x:c>
      <x:c r="E217" s="47" t="n">
        <x:v>2030</x:v>
      </x:c>
      <x:c r="F217" s="47" t="n">
        <x:v>46955.016948000004</x:v>
      </x:c>
      <x:c r="G217" s="47" t="str">
        <x:v>Tahmin</x:v>
      </x:c>
      <x:c r="H217" s="47" t="str">
        <x:v>Tahmin</x:v>
      </x:c>
      <x:c r="I217" s="47" t="str">
        <x:v>S19;S24;S28;S29</x:v>
      </x:c>
      <x:c r="J217" s="47" t="str">
        <x:v>https://www.emlakjet.com/satilik-konut/ankara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17" s="48" t="str"/>
    </x:row>
    <x:row r="218">
      <x:c r="A218" s="46" t="str">
        <x:v>İzmir</x:v>
      </x:c>
      <x:c r="B218" s="47" t="n">
        <x:v>1</x:v>
      </x:c>
      <x:c r="C218" s="47" t="str">
        <x:v>Satılan ev sayısı</x:v>
      </x:c>
      <x:c r="D218" s="47" t="str">
        <x:v>adet</x:v>
      </x:c>
      <x:c r="E218" s="47" t="n">
        <x:v>2022</x:v>
      </x:c>
      <x:c r="F218" s="47" t="n">
        <x:v>83502</x:v>
      </x:c>
      <x:c r="G218" s="47" t="str">
        <x:v>Tam yıl</x:v>
      </x:c>
      <x:c r="H218" s="47" t="str">
        <x:v>Resmî gerçekleşen</x:v>
      </x:c>
      <x:c r="I218" s="47" t="str">
        <x:v>S01</x:v>
      </x:c>
      <x:c r="J218" s="47" t="str">
        <x:v>https://veriportali.tuik.gov.tr/Bulten/Index?dil=1&amp;p=Konut-Satis-Istatistikleri-Aralik-2022-49526</x:v>
      </x:c>
      <x:c r="K218" s="48" t="str"/>
    </x:row>
    <x:row r="219">
      <x:c r="A219" s="46" t="str">
        <x:v>İzmir</x:v>
      </x:c>
      <x:c r="B219" s="47" t="n">
        <x:v>1</x:v>
      </x:c>
      <x:c r="C219" s="47" t="str">
        <x:v>Satılan ev sayısı</x:v>
      </x:c>
      <x:c r="D219" s="47" t="str">
        <x:v>adet</x:v>
      </x:c>
      <x:c r="E219" s="47" t="n">
        <x:v>2023</x:v>
      </x:c>
      <x:c r="F219" s="47" t="n">
        <x:v>65465</x:v>
      </x:c>
      <x:c r="G219" s="47" t="str">
        <x:v>Tam yıl</x:v>
      </x:c>
      <x:c r="H219" s="47" t="str">
        <x:v>Resmî gerçekleşen</x:v>
      </x:c>
      <x:c r="I219" s="47" t="str">
        <x:v>S02</x:v>
      </x:c>
      <x:c r="J219" s="47" t="str">
        <x:v>https://veriportali.tuik.gov.tr/tr/press/49516</x:v>
      </x:c>
      <x:c r="K219" s="48" t="str"/>
    </x:row>
    <x:row r="220">
      <x:c r="A220" s="46" t="str">
        <x:v>İzmir</x:v>
      </x:c>
      <x:c r="B220" s="47" t="n">
        <x:v>1</x:v>
      </x:c>
      <x:c r="C220" s="47" t="str">
        <x:v>Satılan ev sayısı</x:v>
      </x:c>
      <x:c r="D220" s="47" t="str">
        <x:v>adet</x:v>
      </x:c>
      <x:c r="E220" s="47" t="n">
        <x:v>2024</x:v>
      </x:c>
      <x:c r="F220" s="47" t="n">
        <x:v>80398</x:v>
      </x:c>
      <x:c r="G220" s="47" t="str">
        <x:v>Tam yıl</x:v>
      </x:c>
      <x:c r="H220" s="47" t="str">
        <x:v>Resmî gerçekleşen</x:v>
      </x:c>
      <x:c r="I220" s="47" t="str">
        <x:v>S03</x:v>
      </x:c>
      <x:c r="J220" s="47" t="str">
        <x:v>https://veriportali.tuik.gov.tr/tr/press/54146</x:v>
      </x:c>
      <x:c r="K220" s="48" t="str"/>
    </x:row>
    <x:row r="221">
      <x:c r="A221" s="46" t="str">
        <x:v>İzmir</x:v>
      </x:c>
      <x:c r="B221" s="47" t="n">
        <x:v>1</x:v>
      </x:c>
      <x:c r="C221" s="47" t="str">
        <x:v>Satılan ev sayısı</x:v>
      </x:c>
      <x:c r="D221" s="47" t="str">
        <x:v>adet</x:v>
      </x:c>
      <x:c r="E221" s="47" t="n">
        <x:v>2025</x:v>
      </x:c>
      <x:c r="F221" s="47" t="n">
        <x:v>96998</x:v>
      </x:c>
      <x:c r="G221" s="47" t="str">
        <x:v>Tam yıl</x:v>
      </x:c>
      <x:c r="H221" s="47" t="str">
        <x:v>Resmî gerçekleşen</x:v>
      </x:c>
      <x:c r="I221" s="47" t="str">
        <x:v>S04</x:v>
      </x:c>
      <x:c r="J221" s="47" t="str">
        <x:v>https://veriportali.tuik.gov.tr/tr/press/58350</x:v>
      </x:c>
      <x:c r="K221" s="48" t="str"/>
    </x:row>
    <x:row r="222">
      <x:c r="A222" s="46" t="str">
        <x:v>İzmir</x:v>
      </x:c>
      <x:c r="B222" s="47" t="n">
        <x:v>1</x:v>
      </x:c>
      <x:c r="C222" s="47" t="str">
        <x:v>Satılan ev sayısı</x:v>
      </x:c>
      <x:c r="D222" s="47" t="str">
        <x:v>adet</x:v>
      </x:c>
      <x:c r="E222" s="47" t="n">
        <x:v>2026</x:v>
      </x:c>
      <x:c r="F222" s="47" t="n">
        <x:v>91690.31068242136</x:v>
      </x:c>
      <x:c r="G222" s="47" t="str">
        <x:v>2026E</x:v>
      </x:c>
      <x:c r="H222" s="47" t="str">
        <x:v>2026E yıllık tahmin</x:v>
      </x:c>
      <x:c r="I222" s="47" t="str">
        <x:v>S04;S05</x:v>
      </x:c>
      <x:c r="J222" s="47" t="str">
        <x:v>https://veriportali.tuik.gov.tr/tr/press/58350 ; https://veriportali.tuik.gov.tr/tr/press/58339</x:v>
      </x:c>
      <x:c r="K222" s="48" t="str"/>
    </x:row>
    <x:row r="223">
      <x:c r="A223" s="46" t="str">
        <x:v>İzmir</x:v>
      </x:c>
      <x:c r="B223" s="47" t="n">
        <x:v>1</x:v>
      </x:c>
      <x:c r="C223" s="47" t="str">
        <x:v>Satılan ev sayısı</x:v>
      </x:c>
      <x:c r="D223" s="47" t="str">
        <x:v>adet</x:v>
      </x:c>
      <x:c r="E223" s="47" t="n">
        <x:v>2027</x:v>
      </x:c>
      <x:c r="F223" s="47" t="n">
        <x:v>93692.00831685924</x:v>
      </x:c>
      <x:c r="G223" s="47" t="str">
        <x:v>Tahmin</x:v>
      </x:c>
      <x:c r="H223" s="47" t="str">
        <x:v>Tahmin</x:v>
      </x:c>
      <x:c r="I223" s="47" t="str">
        <x:v>S05;S28;S29</x:v>
      </x:c>
      <x:c r="J223" s="47" t="str">
        <x:v>https://veriportali.tuik.gov.tr/tr/press/58339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23" s="48" t="str">
        <x:v>2022-2026 CAGR ile %2 uzun dönem işlem büyümesi harmanlanmıştır.</x:v>
      </x:c>
    </x:row>
    <x:row r="224">
      <x:c r="A224" s="46" t="str">
        <x:v>İzmir</x:v>
      </x:c>
      <x:c r="B224" s="47" t="n">
        <x:v>1</x:v>
      </x:c>
      <x:c r="C224" s="47" t="str">
        <x:v>Satılan ev sayısı</x:v>
      </x:c>
      <x:c r="D224" s="47" t="str">
        <x:v>adet</x:v>
      </x:c>
      <x:c r="E224" s="47" t="n">
        <x:v>2028</x:v>
      </x:c>
      <x:c r="F224" s="47" t="n">
        <x:v>95685.93815235668</x:v>
      </x:c>
      <x:c r="G224" s="47" t="str">
        <x:v>Tahmin</x:v>
      </x:c>
      <x:c r="H224" s="47" t="str">
        <x:v>Tahmin</x:v>
      </x:c>
      <x:c r="I224" s="47" t="str">
        <x:v>S05;S28;S29</x:v>
      </x:c>
      <x:c r="J224" s="47" t="str">
        <x:v>https://veriportali.tuik.gov.tr/tr/press/58339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24" s="48" t="str">
        <x:v>2022-2026 CAGR ile %2 uzun dönem işlem büyümesi harmanlanmıştır.</x:v>
      </x:c>
    </x:row>
    <x:row r="225">
      <x:c r="A225" s="46" t="str">
        <x:v>İzmir</x:v>
      </x:c>
      <x:c r="B225" s="47" t="n">
        <x:v>1</x:v>
      </x:c>
      <x:c r="C225" s="47" t="str">
        <x:v>Satılan ev sayısı</x:v>
      </x:c>
      <x:c r="D225" s="47" t="str">
        <x:v>adet</x:v>
      </x:c>
      <x:c r="E225" s="47" t="n">
        <x:v>2029</x:v>
      </x:c>
      <x:c r="F225" s="47" t="n">
        <x:v>97669.73999391629</x:v>
      </x:c>
      <x:c r="G225" s="47" t="str">
        <x:v>Tahmin</x:v>
      </x:c>
      <x:c r="H225" s="47" t="str">
        <x:v>Tahmin</x:v>
      </x:c>
      <x:c r="I225" s="47" t="str">
        <x:v>S05;S28;S29</x:v>
      </x:c>
      <x:c r="J225" s="47" t="str">
        <x:v>https://veriportali.tuik.gov.tr/tr/press/58339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25" s="48" t="str">
        <x:v>2022-2026 CAGR ile %2 uzun dönem işlem büyümesi harmanlanmıştır.</x:v>
      </x:c>
    </x:row>
    <x:row r="226">
      <x:c r="A226" s="46" t="str">
        <x:v>İzmir</x:v>
      </x:c>
      <x:c r="B226" s="47" t="n">
        <x:v>1</x:v>
      </x:c>
      <x:c r="C226" s="47" t="str">
        <x:v>Satılan ev sayısı</x:v>
      </x:c>
      <x:c r="D226" s="47" t="str">
        <x:v>adet</x:v>
      </x:c>
      <x:c r="E226" s="47" t="n">
        <x:v>2030</x:v>
      </x:c>
      <x:c r="F226" s="47" t="n">
        <x:v>99623.13479379461</x:v>
      </x:c>
      <x:c r="G226" s="47" t="str">
        <x:v>Tahmin</x:v>
      </x:c>
      <x:c r="H226" s="47" t="str">
        <x:v>Tahmin</x:v>
      </x:c>
      <x:c r="I226" s="47" t="str">
        <x:v>S05;S28;S29</x:v>
      </x:c>
      <x:c r="J226" s="47" t="str">
        <x:v>https://veriportali.tuik.gov.tr/tr/press/58339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26" s="48" t="str">
        <x:v>2022-2026 CAGR ile %2 uzun dönem işlem büyümesi harmanlanmıştır.</x:v>
      </x:c>
    </x:row>
    <x:row r="227">
      <x:c r="A227" s="46" t="str">
        <x:v>İzmir</x:v>
      </x:c>
      <x:c r="B227" s="47" t="n">
        <x:v>2</x:v>
      </x:c>
      <x:c r="C227" s="47" t="str">
        <x:v>Ortalama satılık konut alanı</x:v>
      </x:c>
      <x:c r="D227" s="47" t="str">
        <x:v>m²</x:v>
      </x:c>
      <x:c r="E227" s="47" t="n">
        <x:v>2022</x:v>
      </x:c>
      <x:c r="F227" s="47" t="n">
        <x:v>125.00000000000001</x:v>
      </x:c>
      <x:c r="G227" s="47" t="str">
        <x:v>Yıl sonu / rapor dönemi</x:v>
      </x:c>
      <x:c r="H227" s="47" t="str">
        <x:v>Türetilmiş</x:v>
      </x:c>
      <x:c r="I227" s="47" t="str">
        <x:v>S07</x:v>
      </x:c>
      <x:c r="J227" s="47" t="str">
        <x:v>https://www.gayrimenkulhaber.com/emlak-haberleri/turkiyede-ortalama-konut-fiyati-3-milyon-92-bin-700-tl-oldu/</x:v>
      </x:c>
      <x:c r="K227" s="48" t="str"/>
    </x:row>
    <x:row r="228">
      <x:c r="A228" s="46" t="str">
        <x:v>İzmir</x:v>
      </x:c>
      <x:c r="B228" s="47" t="n">
        <x:v>2</x:v>
      </x:c>
      <x:c r="C228" s="47" t="str">
        <x:v>Ortalama satılık konut alanı</x:v>
      </x:c>
      <x:c r="D228" s="47" t="str">
        <x:v>m²</x:v>
      </x:c>
      <x:c r="E228" s="47" t="n">
        <x:v>2023</x:v>
      </x:c>
      <x:c r="F228" s="47" t="n">
        <x:v>125</x:v>
      </x:c>
      <x:c r="G228" s="47" t="str">
        <x:v>Yıl sonu / rapor dönemi</x:v>
      </x:c>
      <x:c r="H228" s="47" t="str">
        <x:v>Türetilmiş</x:v>
      </x:c>
      <x:c r="I228" s="47" t="str">
        <x:v>S07</x:v>
      </x:c>
      <x:c r="J228" s="47" t="str">
        <x:v>https://www.gayrimenkulhaber.com/emlak-haberleri/turkiyede-ortalama-konut-fiyati-3-milyon-92-bin-700-tl-oldu/</x:v>
      </x:c>
      <x:c r="K228" s="48" t="str"/>
    </x:row>
    <x:row r="229">
      <x:c r="A229" s="46" t="str">
        <x:v>İzmir</x:v>
      </x:c>
      <x:c r="B229" s="47" t="n">
        <x:v>2</x:v>
      </x:c>
      <x:c r="C229" s="47" t="str">
        <x:v>Ortalama satılık konut alanı</x:v>
      </x:c>
      <x:c r="D229" s="47" t="str">
        <x:v>m²</x:v>
      </x:c>
      <x:c r="E229" s="47" t="n">
        <x:v>2024</x:v>
      </x:c>
      <x:c r="F229" s="47" t="n">
        <x:v>124.42002125508697</x:v>
      </x:c>
      <x:c r="G229" s="47" t="str">
        <x:v>Yıl sonu / rapor dönemi</x:v>
      </x:c>
      <x:c r="H229" s="47" t="str">
        <x:v>Türetilmiş</x:v>
      </x:c>
      <x:c r="I229" s="47" t="str">
        <x:v>S08</x:v>
      </x:c>
      <x:c r="J229" s="47" t="str">
        <x:v>https://www.gayrimenkulhaber.com/guncel/endeksa-2024-yillik-gayrimenkul-deger-raporu-yayimlandi/</x:v>
      </x:c>
      <x:c r="K229" s="48" t="str"/>
    </x:row>
    <x:row r="230">
      <x:c r="A230" s="46" t="str">
        <x:v>İzmir</x:v>
      </x:c>
      <x:c r="B230" s="47" t="n">
        <x:v>2</x:v>
      </x:c>
      <x:c r="C230" s="47" t="str">
        <x:v>Ortalama satılık konut alanı</x:v>
      </x:c>
      <x:c r="D230" s="47" t="str">
        <x:v>m²</x:v>
      </x:c>
      <x:c r="E230" s="47" t="n">
        <x:v>2025</x:v>
      </x:c>
      <x:c r="F230" s="47" t="n">
        <x:v>124.60024089379907</x:v>
      </x:c>
      <x:c r="G230" s="47" t="str">
        <x:v>Yıl sonu / rapor dönemi</x:v>
      </x:c>
      <x:c r="H230" s="47" t="str">
        <x:v>Türetilmiş</x:v>
      </x:c>
      <x:c r="I230" s="47" t="str">
        <x:v>S09;S16</x:v>
      </x:c>
      <x:c r="J230" s="47" t="str">
        <x:v>https://www.dunya.com/ekonomik-veriler/endeksa-konut-satis-fiyatlari-aralik-ayinda-yuzde-272-artti-haberi-812021 ; https://www.karar.com/ekonomi-haberleri/konut-satislari-ne-durumda-emlakta-en-cok-kazandiran-il-hangisi-2033220</x:v>
      </x:c>
      <x:c r="K230" s="48" t="str"/>
    </x:row>
    <x:row r="231">
      <x:c r="A231" s="46" t="str">
        <x:v>İzmir</x:v>
      </x:c>
      <x:c r="B231" s="47" t="n">
        <x:v>2</x:v>
      </x:c>
      <x:c r="C231" s="47" t="str">
        <x:v>Ortalama satılık konut alanı</x:v>
      </x:c>
      <x:c r="D231" s="47" t="str">
        <x:v>m²</x:v>
      </x:c>
      <x:c r="E231" s="47" t="n">
        <x:v>2026</x:v>
      </x:c>
      <x:c r="F231" s="47" t="n">
        <x:v>120</x:v>
      </x:c>
      <x:c r="G231" s="47" t="str">
        <x:v>Temmuz 2026 son gözlem</x:v>
      </x:c>
      <x:c r="H231" s="47" t="str">
        <x:v>Türetilmiş</x:v>
      </x:c>
      <x:c r="I231" s="47" t="str">
        <x:v>S13</x:v>
      </x:c>
      <x:c r="J231" s="47" t="str">
        <x:v>https://www.emlakjet.com/emlak-piyasasi/satilik-konut/izmir</x:v>
      </x:c>
      <x:c r="K231" s="48" t="str"/>
    </x:row>
    <x:row r="232">
      <x:c r="A232" s="46" t="str">
        <x:v>İzmir</x:v>
      </x:c>
      <x:c r="B232" s="47" t="n">
        <x:v>2</x:v>
      </x:c>
      <x:c r="C232" s="47" t="str">
        <x:v>Ortalama satılık konut alanı</x:v>
      </x:c>
      <x:c r="D232" s="47" t="str">
        <x:v>m²</x:v>
      </x:c>
      <x:c r="E232" s="47" t="n">
        <x:v>2027</x:v>
      </x:c>
      <x:c r="F232" s="47" t="n">
        <x:v>120</x:v>
      </x:c>
      <x:c r="G232" s="47" t="str">
        <x:v>Tahmin</x:v>
      </x:c>
      <x:c r="H232" s="47" t="str">
        <x:v>Tahmin</x:v>
      </x:c>
      <x:c r="I232" s="47" t="str">
        <x:v>S13;S28;S29</x:v>
      </x:c>
      <x:c r="J232" s="47" t="str">
        <x:v>https://www.emlakjet.com/emlak-piyasasi/satilik-konut/izmir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32" s="48" t="str">
        <x:v>2026 alanı sabit tutulmuştur.</x:v>
      </x:c>
    </x:row>
    <x:row r="233">
      <x:c r="A233" s="46" t="str">
        <x:v>İzmir</x:v>
      </x:c>
      <x:c r="B233" s="47" t="n">
        <x:v>2</x:v>
      </x:c>
      <x:c r="C233" s="47" t="str">
        <x:v>Ortalama satılık konut alanı</x:v>
      </x:c>
      <x:c r="D233" s="47" t="str">
        <x:v>m²</x:v>
      </x:c>
      <x:c r="E233" s="47" t="n">
        <x:v>2028</x:v>
      </x:c>
      <x:c r="F233" s="47" t="n">
        <x:v>120</x:v>
      </x:c>
      <x:c r="G233" s="47" t="str">
        <x:v>Tahmin</x:v>
      </x:c>
      <x:c r="H233" s="47" t="str">
        <x:v>Tahmin</x:v>
      </x:c>
      <x:c r="I233" s="47" t="str">
        <x:v>S13;S28;S29</x:v>
      </x:c>
      <x:c r="J233" s="47" t="str">
        <x:v>https://www.emlakjet.com/emlak-piyasasi/satilik-konut/izmir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33" s="48" t="str">
        <x:v>2026 alanı sabit tutulmuştur.</x:v>
      </x:c>
    </x:row>
    <x:row r="234">
      <x:c r="A234" s="46" t="str">
        <x:v>İzmir</x:v>
      </x:c>
      <x:c r="B234" s="47" t="n">
        <x:v>2</x:v>
      </x:c>
      <x:c r="C234" s="47" t="str">
        <x:v>Ortalama satılık konut alanı</x:v>
      </x:c>
      <x:c r="D234" s="47" t="str">
        <x:v>m²</x:v>
      </x:c>
      <x:c r="E234" s="47" t="n">
        <x:v>2029</x:v>
      </x:c>
      <x:c r="F234" s="47" t="n">
        <x:v>120</x:v>
      </x:c>
      <x:c r="G234" s="47" t="str">
        <x:v>Tahmin</x:v>
      </x:c>
      <x:c r="H234" s="47" t="str">
        <x:v>Tahmin</x:v>
      </x:c>
      <x:c r="I234" s="47" t="str">
        <x:v>S13;S28;S29</x:v>
      </x:c>
      <x:c r="J234" s="47" t="str">
        <x:v>https://www.emlakjet.com/emlak-piyasasi/satilik-konut/izmir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34" s="48" t="str">
        <x:v>2026 alanı sabit tutulmuştur.</x:v>
      </x:c>
    </x:row>
    <x:row r="235">
      <x:c r="A235" s="46" t="str">
        <x:v>İzmir</x:v>
      </x:c>
      <x:c r="B235" s="47" t="n">
        <x:v>2</x:v>
      </x:c>
      <x:c r="C235" s="47" t="str">
        <x:v>Ortalama satılık konut alanı</x:v>
      </x:c>
      <x:c r="D235" s="47" t="str">
        <x:v>m²</x:v>
      </x:c>
      <x:c r="E235" s="47" t="n">
        <x:v>2030</x:v>
      </x:c>
      <x:c r="F235" s="47" t="n">
        <x:v>120</x:v>
      </x:c>
      <x:c r="G235" s="47" t="str">
        <x:v>Tahmin</x:v>
      </x:c>
      <x:c r="H235" s="47" t="str">
        <x:v>Tahmin</x:v>
      </x:c>
      <x:c r="I235" s="47" t="str">
        <x:v>S13;S28;S29</x:v>
      </x:c>
      <x:c r="J235" s="47" t="str">
        <x:v>https://www.emlakjet.com/emlak-piyasasi/satilik-konut/izmir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35" s="48" t="str">
        <x:v>2026 alanı sabit tutulmuştur.</x:v>
      </x:c>
    </x:row>
    <x:row r="236">
      <x:c r="A236" s="46" t="str">
        <x:v>İzmir</x:v>
      </x:c>
      <x:c r="B236" s="47" t="n">
        <x:v>3</x:v>
      </x:c>
      <x:c r="C236" s="47" t="str">
        <x:v>Ortalama satılık m² fiyatı</x:v>
      </x:c>
      <x:c r="D236" s="47" t="str">
        <x:v>TL/m²</x:v>
      </x:c>
      <x:c r="E236" s="47" t="n">
        <x:v>2022</x:v>
      </x:c>
      <x:c r="F236" s="47" t="n">
        <x:v>16875.842696629214</x:v>
      </x:c>
      <x:c r="G236" s="47" t="str">
        <x:v>Yıl sonu / rapor dönemi</x:v>
      </x:c>
      <x:c r="H236" s="47" t="str">
        <x:v>Türetilmiş / geriye hesap</x:v>
      </x:c>
      <x:c r="I236" s="47" t="str">
        <x:v>S07</x:v>
      </x:c>
      <x:c r="J236" s="47" t="str">
        <x:v>https://www.gayrimenkulhaber.com/emlak-haberleri/turkiyede-ortalama-konut-fiyati-3-milyon-92-bin-700-tl-oldu/</x:v>
      </x:c>
      <x:c r="K236" s="48" t="str">
        <x:v>2023 Endeksa değerinden %78 yıllık artış kullanılarak geriye hesap.</x:v>
      </x:c>
    </x:row>
    <x:row r="237">
      <x:c r="A237" s="46" t="str">
        <x:v>İzmir</x:v>
      </x:c>
      <x:c r="B237" s="47" t="n">
        <x:v>3</x:v>
      </x:c>
      <x:c r="C237" s="47" t="str">
        <x:v>Ortalama satılık m² fiyatı</x:v>
      </x:c>
      <x:c r="D237" s="47" t="str">
        <x:v>TL/m²</x:v>
      </x:c>
      <x:c r="E237" s="47" t="n">
        <x:v>2023</x:v>
      </x:c>
      <x:c r="F237" s="47" t="n">
        <x:v>30039</x:v>
      </x:c>
      <x:c r="G237" s="47" t="str">
        <x:v>Yıl sonu / rapor dönemi</x:v>
      </x:c>
      <x:c r="H237" s="47" t="str">
        <x:v>Piyasa verisi</x:v>
      </x:c>
      <x:c r="I237" s="47" t="str">
        <x:v>S07</x:v>
      </x:c>
      <x:c r="J237" s="47" t="str">
        <x:v>https://www.gayrimenkulhaber.com/emlak-haberleri/turkiyede-ortalama-konut-fiyati-3-milyon-92-bin-700-tl-oldu/</x:v>
      </x:c>
      <x:c r="K237" s="48" t="str"/>
    </x:row>
    <x:row r="238">
      <x:c r="A238" s="46" t="str">
        <x:v>İzmir</x:v>
      </x:c>
      <x:c r="B238" s="47" t="n">
        <x:v>3</x:v>
      </x:c>
      <x:c r="C238" s="47" t="str">
        <x:v>Ortalama satılık m² fiyatı</x:v>
      </x:c>
      <x:c r="D238" s="47" t="str">
        <x:v>TL/m²</x:v>
      </x:c>
      <x:c r="E238" s="47" t="n">
        <x:v>2024</x:v>
      </x:c>
      <x:c r="F238" s="47" t="n">
        <x:v>38579</x:v>
      </x:c>
      <x:c r="G238" s="47" t="str">
        <x:v>Yıl sonu / rapor dönemi</x:v>
      </x:c>
      <x:c r="H238" s="47" t="str">
        <x:v>Piyasa verisi</x:v>
      </x:c>
      <x:c r="I238" s="47" t="str">
        <x:v>S08</x:v>
      </x:c>
      <x:c r="J238" s="47" t="str">
        <x:v>https://www.gayrimenkulhaber.com/guncel/endeksa-2024-yillik-gayrimenkul-deger-raporu-yayimlandi/</x:v>
      </x:c>
      <x:c r="K238" s="48" t="str"/>
    </x:row>
    <x:row r="239">
      <x:c r="A239" s="46" t="str">
        <x:v>İzmir</x:v>
      </x:c>
      <x:c r="B239" s="47" t="n">
        <x:v>3</x:v>
      </x:c>
      <x:c r="C239" s="47" t="str">
        <x:v>Ortalama satılık m² fiyatı</x:v>
      </x:c>
      <x:c r="D239" s="47" t="str">
        <x:v>TL/m²</x:v>
      </x:c>
      <x:c r="E239" s="47" t="n">
        <x:v>2025</x:v>
      </x:c>
      <x:c r="F239" s="47" t="n">
        <x:v>48154</x:v>
      </x:c>
      <x:c r="G239" s="47" t="str">
        <x:v>Yıl sonu / rapor dönemi</x:v>
      </x:c>
      <x:c r="H239" s="47" t="str">
        <x:v>Piyasa verisi</x:v>
      </x:c>
      <x:c r="I239" s="47" t="str">
        <x:v>S09;S16</x:v>
      </x:c>
      <x:c r="J239" s="47" t="str">
        <x:v>https://www.dunya.com/ekonomik-veriler/endeksa-konut-satis-fiyatlari-aralik-ayinda-yuzde-272-artti-haberi-812021 ; https://www.karar.com/ekonomi-haberleri/konut-satislari-ne-durumda-emlakta-en-cok-kazandiran-il-hangisi-2033220</x:v>
      </x:c>
      <x:c r="K239" s="48" t="str"/>
    </x:row>
    <x:row r="240">
      <x:c r="A240" s="46" t="str">
        <x:v>İzmir</x:v>
      </x:c>
      <x:c r="B240" s="47" t="n">
        <x:v>3</x:v>
      </x:c>
      <x:c r="C240" s="47" t="str">
        <x:v>Ortalama satılık m² fiyatı</x:v>
      </x:c>
      <x:c r="D240" s="47" t="str">
        <x:v>TL/m²</x:v>
      </x:c>
      <x:c r="E240" s="47" t="n">
        <x:v>2026</x:v>
      </x:c>
      <x:c r="F240" s="47" t="n">
        <x:v>53974</x:v>
      </x:c>
      <x:c r="G240" s="47" t="str">
        <x:v>Temmuz 2026 son gözlem</x:v>
      </x:c>
      <x:c r="H240" s="47" t="str">
        <x:v>Son piyasa gözlemi</x:v>
      </x:c>
      <x:c r="I240" s="47" t="str">
        <x:v>S13</x:v>
      </x:c>
      <x:c r="J240" s="47" t="str">
        <x:v>https://www.emlakjet.com/emlak-piyasasi/satilik-konut/izmir</x:v>
      </x:c>
      <x:c r="K240" s="48" t="str"/>
    </x:row>
    <x:row r="241">
      <x:c r="A241" s="46" t="str">
        <x:v>İzmir</x:v>
      </x:c>
      <x:c r="B241" s="47" t="n">
        <x:v>3</x:v>
      </x:c>
      <x:c r="C241" s="47" t="str">
        <x:v>Ortalama satılık m² fiyatı</x:v>
      </x:c>
      <x:c r="D241" s="47" t="str">
        <x:v>TL/m²</x:v>
      </x:c>
      <x:c r="E241" s="47" t="n">
        <x:v>2027</x:v>
      </x:c>
      <x:c r="F241" s="47" t="n">
        <x:v>62070.1</x:v>
      </x:c>
      <x:c r="G241" s="47" t="str">
        <x:v>Tahmin</x:v>
      </x:c>
      <x:c r="H241" s="47" t="str">
        <x:v>Tahmin</x:v>
      </x:c>
      <x:c r="I241" s="47" t="str">
        <x:v>S13;S28;S29</x:v>
      </x:c>
      <x:c r="J241" s="47" t="str">
        <x:v>https://www.emlakjet.com/emlak-piyasasi/satilik-konut/izmir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41" s="48" t="str">
        <x:v>Nominal fiyat patikası: 2027 %15, 2028 %9, 2029 %6, 2030 %5.</x:v>
      </x:c>
    </x:row>
    <x:row r="242">
      <x:c r="A242" s="46" t="str">
        <x:v>İzmir</x:v>
      </x:c>
      <x:c r="B242" s="47" t="n">
        <x:v>3</x:v>
      </x:c>
      <x:c r="C242" s="47" t="str">
        <x:v>Ortalama satılık m² fiyatı</x:v>
      </x:c>
      <x:c r="D242" s="47" t="str">
        <x:v>TL/m²</x:v>
      </x:c>
      <x:c r="E242" s="47" t="n">
        <x:v>2028</x:v>
      </x:c>
      <x:c r="F242" s="47" t="n">
        <x:v>67656.409</x:v>
      </x:c>
      <x:c r="G242" s="47" t="str">
        <x:v>Tahmin</x:v>
      </x:c>
      <x:c r="H242" s="47" t="str">
        <x:v>Tahmin</x:v>
      </x:c>
      <x:c r="I242" s="47" t="str">
        <x:v>S13;S28;S29</x:v>
      </x:c>
      <x:c r="J242" s="47" t="str">
        <x:v>https://www.emlakjet.com/emlak-piyasasi/satilik-konut/izmir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42" s="48" t="str">
        <x:v>Nominal fiyat patikası: 2027 %15, 2028 %9, 2029 %6, 2030 %5.</x:v>
      </x:c>
    </x:row>
    <x:row r="243">
      <x:c r="A243" s="46" t="str">
        <x:v>İzmir</x:v>
      </x:c>
      <x:c r="B243" s="47" t="n">
        <x:v>3</x:v>
      </x:c>
      <x:c r="C243" s="47" t="str">
        <x:v>Ortalama satılık m² fiyatı</x:v>
      </x:c>
      <x:c r="D243" s="47" t="str">
        <x:v>TL/m²</x:v>
      </x:c>
      <x:c r="E243" s="47" t="n">
        <x:v>2029</x:v>
      </x:c>
      <x:c r="F243" s="47" t="n">
        <x:v>71715.79354</x:v>
      </x:c>
      <x:c r="G243" s="47" t="str">
        <x:v>Tahmin</x:v>
      </x:c>
      <x:c r="H243" s="47" t="str">
        <x:v>Tahmin</x:v>
      </x:c>
      <x:c r="I243" s="47" t="str">
        <x:v>S13;S28;S29</x:v>
      </x:c>
      <x:c r="J243" s="47" t="str">
        <x:v>https://www.emlakjet.com/emlak-piyasasi/satilik-konut/izmir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43" s="48" t="str">
        <x:v>Nominal fiyat patikası: 2027 %15, 2028 %9, 2029 %6, 2030 %5.</x:v>
      </x:c>
    </x:row>
    <x:row r="244">
      <x:c r="A244" s="46" t="str">
        <x:v>İzmir</x:v>
      </x:c>
      <x:c r="B244" s="47" t="n">
        <x:v>3</x:v>
      </x:c>
      <x:c r="C244" s="47" t="str">
        <x:v>Ortalama satılık m² fiyatı</x:v>
      </x:c>
      <x:c r="D244" s="47" t="str">
        <x:v>TL/m²</x:v>
      </x:c>
      <x:c r="E244" s="47" t="n">
        <x:v>2030</x:v>
      </x:c>
      <x:c r="F244" s="47" t="n">
        <x:v>75301.583217</x:v>
      </x:c>
      <x:c r="G244" s="47" t="str">
        <x:v>Tahmin</x:v>
      </x:c>
      <x:c r="H244" s="47" t="str">
        <x:v>Tahmin</x:v>
      </x:c>
      <x:c r="I244" s="47" t="str">
        <x:v>S13;S28;S29</x:v>
      </x:c>
      <x:c r="J244" s="47" t="str">
        <x:v>https://www.emlakjet.com/emlak-piyasasi/satilik-konut/izmir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44" s="48" t="str">
        <x:v>Nominal fiyat patikası: 2027 %15, 2028 %9, 2029 %6, 2030 %5.</x:v>
      </x:c>
    </x:row>
    <x:row r="245">
      <x:c r="A245" s="46" t="str">
        <x:v>İzmir</x:v>
      </x:c>
      <x:c r="B245" s="47" t="n">
        <x:v>4</x:v>
      </x:c>
      <x:c r="C245" s="47" t="str">
        <x:v>Ortalama ev fiyatı</x:v>
      </x:c>
      <x:c r="D245" s="47" t="str">
        <x:v>TL</x:v>
      </x:c>
      <x:c r="E245" s="47" t="n">
        <x:v>2022</x:v>
      </x:c>
      <x:c r="F245" s="47" t="n">
        <x:v>2109480.337078652</x:v>
      </x:c>
      <x:c r="G245" s="47" t="str">
        <x:v>Yıl sonu / rapor dönemi</x:v>
      </x:c>
      <x:c r="H245" s="47" t="str">
        <x:v>Türetilmiş / geriye hesap</x:v>
      </x:c>
      <x:c r="I245" s="47" t="str">
        <x:v>S07</x:v>
      </x:c>
      <x:c r="J245" s="47" t="str">
        <x:v>https://www.gayrimenkulhaber.com/emlak-haberleri/turkiyede-ortalama-konut-fiyati-3-milyon-92-bin-700-tl-oldu/</x:v>
      </x:c>
      <x:c r="K245" s="48" t="str">
        <x:v>2023 Endeksa değerinden %78 yıllık artış kullanılarak geriye hesap.</x:v>
      </x:c>
    </x:row>
    <x:row r="246">
      <x:c r="A246" s="46" t="str">
        <x:v>İzmir</x:v>
      </x:c>
      <x:c r="B246" s="47" t="n">
        <x:v>4</x:v>
      </x:c>
      <x:c r="C246" s="47" t="str">
        <x:v>Ortalama ev fiyatı</x:v>
      </x:c>
      <x:c r="D246" s="47" t="str">
        <x:v>TL</x:v>
      </x:c>
      <x:c r="E246" s="47" t="n">
        <x:v>2023</x:v>
      </x:c>
      <x:c r="F246" s="47" t="n">
        <x:v>3754875</x:v>
      </x:c>
      <x:c r="G246" s="47" t="str">
        <x:v>Yıl sonu / rapor dönemi</x:v>
      </x:c>
      <x:c r="H246" s="47" t="str">
        <x:v>Piyasa verisi</x:v>
      </x:c>
      <x:c r="I246" s="47" t="str">
        <x:v>S07</x:v>
      </x:c>
      <x:c r="J246" s="47" t="str">
        <x:v>https://www.gayrimenkulhaber.com/emlak-haberleri/turkiyede-ortalama-konut-fiyati-3-milyon-92-bin-700-tl-oldu/</x:v>
      </x:c>
      <x:c r="K246" s="48" t="str"/>
    </x:row>
    <x:row r="247">
      <x:c r="A247" s="46" t="str">
        <x:v>İzmir</x:v>
      </x:c>
      <x:c r="B247" s="47" t="n">
        <x:v>4</x:v>
      </x:c>
      <x:c r="C247" s="47" t="str">
        <x:v>Ortalama ev fiyatı</x:v>
      </x:c>
      <x:c r="D247" s="47" t="str">
        <x:v>TL</x:v>
      </x:c>
      <x:c r="E247" s="47" t="n">
        <x:v>2024</x:v>
      </x:c>
      <x:c r="F247" s="47" t="n">
        <x:v>4800000</x:v>
      </x:c>
      <x:c r="G247" s="47" t="str">
        <x:v>Yıl sonu / rapor dönemi</x:v>
      </x:c>
      <x:c r="H247" s="47" t="str">
        <x:v>Piyasa verisi</x:v>
      </x:c>
      <x:c r="I247" s="47" t="str">
        <x:v>S08</x:v>
      </x:c>
      <x:c r="J247" s="47" t="str">
        <x:v>https://www.gayrimenkulhaber.com/guncel/endeksa-2024-yillik-gayrimenkul-deger-raporu-yayimlandi/</x:v>
      </x:c>
      <x:c r="K247" s="48" t="str"/>
    </x:row>
    <x:row r="248">
      <x:c r="A248" s="46" t="str">
        <x:v>İzmir</x:v>
      </x:c>
      <x:c r="B248" s="47" t="n">
        <x:v>4</x:v>
      </x:c>
      <x:c r="C248" s="47" t="str">
        <x:v>Ortalama ev fiyatı</x:v>
      </x:c>
      <x:c r="D248" s="47" t="str">
        <x:v>TL</x:v>
      </x:c>
      <x:c r="E248" s="47" t="n">
        <x:v>2025</x:v>
      </x:c>
      <x:c r="F248" s="47" t="n">
        <x:v>6000000</x:v>
      </x:c>
      <x:c r="G248" s="47" t="str">
        <x:v>Yıl sonu / rapor dönemi</x:v>
      </x:c>
      <x:c r="H248" s="47" t="str">
        <x:v>Piyasa verisi</x:v>
      </x:c>
      <x:c r="I248" s="47" t="str">
        <x:v>S09;S16</x:v>
      </x:c>
      <x:c r="J248" s="47" t="str">
        <x:v>https://www.dunya.com/ekonomik-veriler/endeksa-konut-satis-fiyatlari-aralik-ayinda-yuzde-272-artti-haberi-812021 ; https://www.karar.com/ekonomi-haberleri/konut-satislari-ne-durumda-emlakta-en-cok-kazandiran-il-hangisi-2033220</x:v>
      </x:c>
      <x:c r="K248" s="48" t="str"/>
    </x:row>
    <x:row r="249">
      <x:c r="A249" s="46" t="str">
        <x:v>İzmir</x:v>
      </x:c>
      <x:c r="B249" s="47" t="n">
        <x:v>4</x:v>
      </x:c>
      <x:c r="C249" s="47" t="str">
        <x:v>Ortalama ev fiyatı</x:v>
      </x:c>
      <x:c r="D249" s="47" t="str">
        <x:v>TL</x:v>
      </x:c>
      <x:c r="E249" s="47" t="n">
        <x:v>2026</x:v>
      </x:c>
      <x:c r="F249" s="47" t="n">
        <x:v>6476880</x:v>
      </x:c>
      <x:c r="G249" s="47" t="str">
        <x:v>Temmuz 2026 son gözlem</x:v>
      </x:c>
      <x:c r="H249" s="47" t="str">
        <x:v>Son piyasa gözlemi</x:v>
      </x:c>
      <x:c r="I249" s="47" t="str">
        <x:v>S13</x:v>
      </x:c>
      <x:c r="J249" s="47" t="str">
        <x:v>https://www.emlakjet.com/emlak-piyasasi/satilik-konut/izmir</x:v>
      </x:c>
      <x:c r="K249" s="48" t="str"/>
    </x:row>
    <x:row r="250">
      <x:c r="A250" s="46" t="str">
        <x:v>İzmir</x:v>
      </x:c>
      <x:c r="B250" s="47" t="n">
        <x:v>4</x:v>
      </x:c>
      <x:c r="C250" s="47" t="str">
        <x:v>Ortalama ev fiyatı</x:v>
      </x:c>
      <x:c r="D250" s="47" t="str">
        <x:v>TL</x:v>
      </x:c>
      <x:c r="E250" s="47" t="n">
        <x:v>2027</x:v>
      </x:c>
      <x:c r="F250" s="47" t="n">
        <x:v>7448412</x:v>
      </x:c>
      <x:c r="G250" s="47" t="str">
        <x:v>Tahmin</x:v>
      </x:c>
      <x:c r="H250" s="47" t="str">
        <x:v>Tahmin</x:v>
      </x:c>
      <x:c r="I250" s="47" t="str">
        <x:v>S13;S28;S29</x:v>
      </x:c>
      <x:c r="J250" s="47" t="str">
        <x:v>https://www.emlakjet.com/emlak-piyasasi/satilik-konut/izmir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50" s="48" t="str"/>
    </x:row>
    <x:row r="251">
      <x:c r="A251" s="46" t="str">
        <x:v>İzmir</x:v>
      </x:c>
      <x:c r="B251" s="47" t="n">
        <x:v>4</x:v>
      </x:c>
      <x:c r="C251" s="47" t="str">
        <x:v>Ortalama ev fiyatı</x:v>
      </x:c>
      <x:c r="D251" s="47" t="str">
        <x:v>TL</x:v>
      </x:c>
      <x:c r="E251" s="47" t="n">
        <x:v>2028</x:v>
      </x:c>
      <x:c r="F251" s="47" t="n">
        <x:v>8118769.08</x:v>
      </x:c>
      <x:c r="G251" s="47" t="str">
        <x:v>Tahmin</x:v>
      </x:c>
      <x:c r="H251" s="47" t="str">
        <x:v>Tahmin</x:v>
      </x:c>
      <x:c r="I251" s="47" t="str">
        <x:v>S13;S28;S29</x:v>
      </x:c>
      <x:c r="J251" s="47" t="str">
        <x:v>https://www.emlakjet.com/emlak-piyasasi/satilik-konut/izmir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51" s="48" t="str"/>
    </x:row>
    <x:row r="252">
      <x:c r="A252" s="46" t="str">
        <x:v>İzmir</x:v>
      </x:c>
      <x:c r="B252" s="47" t="n">
        <x:v>4</x:v>
      </x:c>
      <x:c r="C252" s="47" t="str">
        <x:v>Ortalama ev fiyatı</x:v>
      </x:c>
      <x:c r="D252" s="47" t="str">
        <x:v>TL</x:v>
      </x:c>
      <x:c r="E252" s="47" t="n">
        <x:v>2029</x:v>
      </x:c>
      <x:c r="F252" s="47" t="n">
        <x:v>8605895.2248</x:v>
      </x:c>
      <x:c r="G252" s="47" t="str">
        <x:v>Tahmin</x:v>
      </x:c>
      <x:c r="H252" s="47" t="str">
        <x:v>Tahmin</x:v>
      </x:c>
      <x:c r="I252" s="47" t="str">
        <x:v>S13;S28;S29</x:v>
      </x:c>
      <x:c r="J252" s="47" t="str">
        <x:v>https://www.emlakjet.com/emlak-piyasasi/satilik-konut/izmir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52" s="48" t="str"/>
    </x:row>
    <x:row r="253">
      <x:c r="A253" s="46" t="str">
        <x:v>İzmir</x:v>
      </x:c>
      <x:c r="B253" s="47" t="n">
        <x:v>4</x:v>
      </x:c>
      <x:c r="C253" s="47" t="str">
        <x:v>Ortalama ev fiyatı</x:v>
      </x:c>
      <x:c r="D253" s="47" t="str">
        <x:v>TL</x:v>
      </x:c>
      <x:c r="E253" s="47" t="n">
        <x:v>2030</x:v>
      </x:c>
      <x:c r="F253" s="47" t="n">
        <x:v>9036189.98604</x:v>
      </x:c>
      <x:c r="G253" s="47" t="str">
        <x:v>Tahmin</x:v>
      </x:c>
      <x:c r="H253" s="47" t="str">
        <x:v>Tahmin</x:v>
      </x:c>
      <x:c r="I253" s="47" t="str">
        <x:v>S13;S28;S29</x:v>
      </x:c>
      <x:c r="J253" s="47" t="str">
        <x:v>https://www.emlakjet.com/emlak-piyasasi/satilik-konut/izmir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53" s="48" t="str"/>
    </x:row>
    <x:row r="254">
      <x:c r="A254" s="46" t="str">
        <x:v>İzmir</x:v>
      </x:c>
      <x:c r="B254" s="47" t="n">
        <x:v>5</x:v>
      </x:c>
      <x:c r="C254" s="47" t="str">
        <x:v>Kiralanan ev sayısı (platform proxy)</x:v>
      </x:c>
      <x:c r="D254" s="47" t="str">
        <x:v>adet/yıl</x:v>
      </x:c>
      <x:c r="E254" s="47" t="n">
        <x:v>2022</x:v>
      </x:c>
      <x:c r="F254" s="47" t="n">
        <x:v>29366.028</x:v>
      </x:c>
      <x:c r="G254" s="47" t="str">
        <x:v>Tam yıl</x:v>
      </x:c>
      <x:c r="H254" s="47" t="str">
        <x:v>Platform proxy / yıllıklandırılmış</x:v>
      </x:c>
      <x:c r="I254" s="47" t="str">
        <x:v>S26</x:v>
      </x:c>
      <x:c r="J254" s="47" t="str">
        <x:v>https://www.dunya.com/sektorler/emlak/satilik-konut-fiyatlarindaki-artis-hizi-dusmeye-devam-ediyor-haberi-683075</x:v>
      </x:c>
      <x:c r="K254" s="48" t="str">
        <x:v>Resmî kira sözleşmesi adedi değildir; sahibindex/BETAM platform göstergesi yıllık proxy.</x:v>
      </x:c>
    </x:row>
    <x:row r="255">
      <x:c r="A255" s="46" t="str">
        <x:v>İzmir</x:v>
      </x:c>
      <x:c r="B255" s="47" t="n">
        <x:v>5</x:v>
      </x:c>
      <x:c r="C255" s="47" t="str">
        <x:v>Kiralanan ev sayısı (platform proxy)</x:v>
      </x:c>
      <x:c r="D255" s="47" t="str">
        <x:v>adet/yıl</x:v>
      </x:c>
      <x:c r="E255" s="47" t="n">
        <x:v>2023</x:v>
      </x:c>
      <x:c r="F255" s="47" t="n">
        <x:v>29724</x:v>
      </x:c>
      <x:c r="G255" s="47" t="str">
        <x:v>Tam yıl</x:v>
      </x:c>
      <x:c r="H255" s="47" t="str">
        <x:v>Platform proxy / yıllıklandırılmış</x:v>
      </x:c>
      <x:c r="I255" s="47" t="str">
        <x:v>S27</x:v>
      </x:c>
      <x:c r="J255" s="47" t="str">
        <x:v>https://image5.sahibinden.com/staticContent/969bb478/2309/451b/af82/d321e8a0a74d/1706003743.pdf</x:v>
      </x:c>
      <x:c r="K255" s="48" t="str">
        <x:v>Resmî kira sözleşmesi adedi değildir; sahibindex/BETAM platform göstergesi yıllık proxy.</x:v>
      </x:c>
    </x:row>
    <x:row r="256">
      <x:c r="A256" s="46" t="str">
        <x:v>İzmir</x:v>
      </x:c>
      <x:c r="B256" s="47" t="n">
        <x:v>5</x:v>
      </x:c>
      <x:c r="C256" s="47" t="str">
        <x:v>Kiralanan ev sayısı (platform proxy)</x:v>
      </x:c>
      <x:c r="D256" s="47" t="str">
        <x:v>adet/yıl</x:v>
      </x:c>
      <x:c r="E256" s="47" t="n">
        <x:v>2024</x:v>
      </x:c>
      <x:c r="F256" s="47" t="n">
        <x:v>31507.440000000002</x:v>
      </x:c>
      <x:c r="G256" s="47" t="str">
        <x:v>Tam yıl</x:v>
      </x:c>
      <x:c r="H256" s="47" t="str">
        <x:v>Model/Proxy</x:v>
      </x:c>
      <x:c r="I256" s="47" t="str">
        <x:v>S27;Model</x:v>
      </x:c>
      <x:c r="J256" s="47" t="str">
        <x:v>https://image5.sahibinden.com/staticContent/969bb478/2309/451b/af82/d321e8a0a74d/1706003743.pdf</x:v>
      </x:c>
      <x:c r="K256" s="48" t="str">
        <x:v>Resmî kira sözleşmesi adedi değildir; sahibindex/BETAM platform göstergesi yıllık proxy.</x:v>
      </x:c>
    </x:row>
    <x:row r="257">
      <x:c r="A257" s="46" t="str">
        <x:v>İzmir</x:v>
      </x:c>
      <x:c r="B257" s="47" t="n">
        <x:v>5</x:v>
      </x:c>
      <x:c r="C257" s="47" t="str">
        <x:v>Kiralanan ev sayısı (platform proxy)</x:v>
      </x:c>
      <x:c r="D257" s="47" t="str">
        <x:v>adet/yıl</x:v>
      </x:c>
      <x:c r="E257" s="47" t="n">
        <x:v>2025</x:v>
      </x:c>
      <x:c r="F257" s="47" t="n">
        <x:v>33082.812000000005</x:v>
      </x:c>
      <x:c r="G257" s="47" t="str">
        <x:v>Tam yıl</x:v>
      </x:c>
      <x:c r="H257" s="47" t="str">
        <x:v>Model/Proxy</x:v>
      </x:c>
      <x:c r="I257" s="47" t="str">
        <x:v>S27;Model</x:v>
      </x:c>
      <x:c r="J257" s="47" t="str">
        <x:v>https://image5.sahibinden.com/staticContent/969bb478/2309/451b/af82/d321e8a0a74d/1706003743.pdf</x:v>
      </x:c>
      <x:c r="K257" s="48" t="str">
        <x:v>Resmî kira sözleşmesi adedi değildir; sahibindex/BETAM platform göstergesi yıllık proxy.</x:v>
      </x:c>
    </x:row>
    <x:row r="258">
      <x:c r="A258" s="46" t="str">
        <x:v>İzmir</x:v>
      </x:c>
      <x:c r="B258" s="47" t="n">
        <x:v>5</x:v>
      </x:c>
      <x:c r="C258" s="47" t="str">
        <x:v>Kiralanan ev sayısı (platform proxy)</x:v>
      </x:c>
      <x:c r="D258" s="47" t="str">
        <x:v>adet/yıl</x:v>
      </x:c>
      <x:c r="E258" s="47" t="n">
        <x:v>2026</x:v>
      </x:c>
      <x:c r="F258" s="47" t="n">
        <x:v>34736.952600000004</x:v>
      </x:c>
      <x:c r="G258" s="47" t="str">
        <x:v>2026E</x:v>
      </x:c>
      <x:c r="H258" s="47" t="str">
        <x:v>Model/Proxy</x:v>
      </x:c>
      <x:c r="I258" s="47" t="str">
        <x:v>S27;Model</x:v>
      </x:c>
      <x:c r="J258" s="47" t="str">
        <x:v>https://image5.sahibinden.com/staticContent/969bb478/2309/451b/af82/d321e8a0a74d/1706003743.pdf</x:v>
      </x:c>
      <x:c r="K258" s="48" t="str">
        <x:v>Resmî kira sözleşmesi adedi değildir; sahibindex/BETAM platform göstergesi yıllık proxy.</x:v>
      </x:c>
    </x:row>
    <x:row r="259">
      <x:c r="A259" s="46" t="str">
        <x:v>İzmir</x:v>
      </x:c>
      <x:c r="B259" s="47" t="n">
        <x:v>5</x:v>
      </x:c>
      <x:c r="C259" s="47" t="str">
        <x:v>Kiralanan ev sayısı (platform proxy)</x:v>
      </x:c>
      <x:c r="D259" s="47" t="str">
        <x:v>adet/yıl</x:v>
      </x:c>
      <x:c r="E259" s="47" t="n">
        <x:v>2027</x:v>
      </x:c>
      <x:c r="F259" s="47" t="n">
        <x:v>35829.1778198807</x:v>
      </x:c>
      <x:c r="G259" s="47" t="str">
        <x:v>Tahmin</x:v>
      </x:c>
      <x:c r="H259" s="47" t="str">
        <x:v>Tahmin</x:v>
      </x:c>
      <x:c r="I259" s="47" t="str">
        <x:v>S27;S28;S29;Model</x:v>
      </x:c>
      <x:c r="J259" s="47" t="str">
        <x:v>https://image5.sahibinden.com/staticContent/969bb478/2309/451b/af82/d321e8a0a74d/1706003743.pdf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59" s="48" t="str">
        <x:v>Resmî kira sözleşmesi adedi değildir; sahibindex/BETAM platform göstergesi yıllık proxy.</x:v>
      </x:c>
    </x:row>
    <x:row r="260">
      <x:c r="A260" s="46" t="str">
        <x:v>İzmir</x:v>
      </x:c>
      <x:c r="B260" s="47" t="n">
        <x:v>5</x:v>
      </x:c>
      <x:c r="C260" s="47" t="str">
        <x:v>Kiralanan ev sayısı (platform proxy)</x:v>
      </x:c>
      <x:c r="D260" s="47" t="str">
        <x:v>adet/yıl</x:v>
      </x:c>
      <x:c r="E260" s="47" t="n">
        <x:v>2028</x:v>
      </x:c>
      <x:c r="F260" s="47" t="n">
        <x:v>36832.750333765565</x:v>
      </x:c>
      <x:c r="G260" s="47" t="str">
        <x:v>Tahmin</x:v>
      </x:c>
      <x:c r="H260" s="47" t="str">
        <x:v>Tahmin</x:v>
      </x:c>
      <x:c r="I260" s="47" t="str">
        <x:v>S27;S28;S29;Model</x:v>
      </x:c>
      <x:c r="J260" s="47" t="str">
        <x:v>https://image5.sahibinden.com/staticContent/969bb478/2309/451b/af82/d321e8a0a74d/1706003743.pdf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60" s="48" t="str">
        <x:v>Resmî kira sözleşmesi adedi değildir; sahibindex/BETAM platform göstergesi yıllık proxy.</x:v>
      </x:c>
    </x:row>
    <x:row r="261">
      <x:c r="A261" s="46" t="str">
        <x:v>İzmir</x:v>
      </x:c>
      <x:c r="B261" s="47" t="n">
        <x:v>5</x:v>
      </x:c>
      <x:c r="C261" s="47" t="str">
        <x:v>Kiralanan ev sayısı (platform proxy)</x:v>
      </x:c>
      <x:c r="D261" s="47" t="str">
        <x:v>adet/yıl</x:v>
      </x:c>
      <x:c r="E261" s="47" t="n">
        <x:v>2029</x:v>
      </x:c>
      <x:c r="F261" s="47" t="n">
        <x:v>37737.99248107192</x:v>
      </x:c>
      <x:c r="G261" s="47" t="str">
        <x:v>Tahmin</x:v>
      </x:c>
      <x:c r="H261" s="47" t="str">
        <x:v>Tahmin</x:v>
      </x:c>
      <x:c r="I261" s="47" t="str">
        <x:v>S27;S28;S29;Model</x:v>
      </x:c>
      <x:c r="J261" s="47" t="str">
        <x:v>https://image5.sahibinden.com/staticContent/969bb478/2309/451b/af82/d321e8a0a74d/1706003743.pdf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61" s="48" t="str">
        <x:v>Resmî kira sözleşmesi adedi değildir; sahibindex/BETAM platform göstergesi yıllık proxy.</x:v>
      </x:c>
    </x:row>
    <x:row r="262">
      <x:c r="A262" s="46" t="str">
        <x:v>İzmir</x:v>
      </x:c>
      <x:c r="B262" s="47" t="n">
        <x:v>5</x:v>
      </x:c>
      <x:c r="C262" s="47" t="str">
        <x:v>Kiralanan ev sayısı (platform proxy)</x:v>
      </x:c>
      <x:c r="D262" s="47" t="str">
        <x:v>adet/yıl</x:v>
      </x:c>
      <x:c r="E262" s="47" t="n">
        <x:v>2030</x:v>
      </x:c>
      <x:c r="F262" s="47" t="n">
        <x:v>38492.75233069336</x:v>
      </x:c>
      <x:c r="G262" s="47" t="str">
        <x:v>Tahmin</x:v>
      </x:c>
      <x:c r="H262" s="47" t="str">
        <x:v>Tahmin</x:v>
      </x:c>
      <x:c r="I262" s="47" t="str">
        <x:v>S27;S28;S29;Model</x:v>
      </x:c>
      <x:c r="J262" s="47" t="str">
        <x:v>https://image5.sahibinden.com/staticContent/969bb478/2309/451b/af82/d321e8a0a74d/1706003743.pdf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62" s="48" t="str">
        <x:v>Resmî kira sözleşmesi adedi değildir; sahibindex/BETAM platform göstergesi yıllık proxy.</x:v>
      </x:c>
    </x:row>
    <x:row r="263">
      <x:c r="A263" s="46" t="str">
        <x:v>İzmir</x:v>
      </x:c>
      <x:c r="B263" s="47" t="n">
        <x:v>6</x:v>
      </x:c>
      <x:c r="C263" s="47" t="str">
        <x:v>Ortalama kiralanan alan (ima edilen)</x:v>
      </x:c>
      <x:c r="D263" s="47" t="str">
        <x:v>m²</x:v>
      </x:c>
      <x:c r="E263" s="47" t="n">
        <x:v>2022</x:v>
      </x:c>
      <x:c r="F263" s="47" t="n">
        <x:v>106.62970848565193</x:v>
      </x:c>
      <x:c r="G263" s="47" t="str">
        <x:v>Yıl sonu / rapor dönemi</x:v>
      </x:c>
      <x:c r="H263" s="47" t="str">
        <x:v>Türetilmiş</x:v>
      </x:c>
      <x:c r="I263" s="47" t="str">
        <x:v>S14;S21</x:v>
      </x:c>
      <x:c r="J263" s="47" t="str">
        <x:v>https://www.gayrimenkulhaber.com/guncel/endeksa-acikladi-aralik-ayinda-kira-artisi-hiz-kesti-bazi-bolgelerde-dususler-var/ ; https://betam.bahcesehir.edu.tr/2023/01/sahibindex-kiralik-konut-piyasasi-gorunumu-ocak-2023/</x:v>
      </x:c>
      <x:c r="K263" s="48" t="str">
        <x:v>Ortalama kira / kiralık m² fiyatı ile çapraz-kaynak ima edilen alan.</x:v>
      </x:c>
    </x:row>
    <x:row r="264">
      <x:c r="A264" s="46" t="str">
        <x:v>İzmir</x:v>
      </x:c>
      <x:c r="B264" s="47" t="n">
        <x:v>6</x:v>
      </x:c>
      <x:c r="C264" s="47" t="str">
        <x:v>Ortalama kiralanan alan (ima edilen)</x:v>
      </x:c>
      <x:c r="D264" s="47" t="str">
        <x:v>m²</x:v>
      </x:c>
      <x:c r="E264" s="47" t="n">
        <x:v>2023</x:v>
      </x:c>
      <x:c r="F264" s="47" t="n">
        <x:v>109.45704467353951</x:v>
      </x:c>
      <x:c r="G264" s="47" t="str">
        <x:v>Yıl sonu / rapor dönemi</x:v>
      </x:c>
      <x:c r="H264" s="47" t="str">
        <x:v>Türetilmiş</x:v>
      </x:c>
      <x:c r="I264" s="47" t="str">
        <x:v>S14;S22</x:v>
      </x:c>
      <x:c r="J264" s="47" t="str">
        <x:v>https://www.gayrimenkulhaber.com/guncel/endeksa-acikladi-aralik-ayinda-kira-artisi-hiz-kesti-bazi-bolgelerde-dususler-var/ ; https://betam.bahcesehir.edu.tr/2024/01/sahibindex-kiralik-konut-piyasasi-gorunumu-ocak-2024/</x:v>
      </x:c>
      <x:c r="K264" s="48" t="str">
        <x:v>Ortalama kira / kiralık m² fiyatı ile çapraz-kaynak ima edilen alan.</x:v>
      </x:c>
    </x:row>
    <x:row r="265">
      <x:c r="A265" s="46" t="str">
        <x:v>İzmir</x:v>
      </x:c>
      <x:c r="B265" s="47" t="n">
        <x:v>6</x:v>
      </x:c>
      <x:c r="C265" s="47" t="str">
        <x:v>Ortalama kiralanan alan (ima edilen)</x:v>
      </x:c>
      <x:c r="D265" s="47" t="str">
        <x:v>m²</x:v>
      </x:c>
      <x:c r="E265" s="47" t="n">
        <x:v>2024</x:v>
      </x:c>
      <x:c r="F265" s="47" t="n">
        <x:v>107.55055314285714</x:v>
      </x:c>
      <x:c r="G265" s="47" t="str">
        <x:v>Yıl sonu / rapor dönemi</x:v>
      </x:c>
      <x:c r="H265" s="47" t="str">
        <x:v>Türetilmiş</x:v>
      </x:c>
      <x:c r="I265" s="47" t="str">
        <x:v>S15;S23</x:v>
      </x:c>
      <x:c r="J265" s="47" t="str">
        <x:v>https://www.gayrimenkulhaber.com/guncel/endeksa-2024-yillik-gayrimenkul-deger-raporu-yayimlandi/ ; https://betam.bahcesehir.edu.tr/2026/01/sahibindex-kiralik-konut-piyasasi-gorunumu-ocak-2026/</x:v>
      </x:c>
      <x:c r="K265" s="48" t="str">
        <x:v>Ortalama kira / kiralık m² fiyatı ile çapraz-kaynak ima edilen alan.</x:v>
      </x:c>
    </x:row>
    <x:row r="266">
      <x:c r="A266" s="46" t="str">
        <x:v>İzmir</x:v>
      </x:c>
      <x:c r="B266" s="47" t="n">
        <x:v>6</x:v>
      </x:c>
      <x:c r="C266" s="47" t="str">
        <x:v>Ortalama kiralanan alan (ima edilen)</x:v>
      </x:c>
      <x:c r="D266" s="47" t="str">
        <x:v>m²</x:v>
      </x:c>
      <x:c r="E266" s="47" t="n">
        <x:v>2025</x:v>
      </x:c>
      <x:c r="F266" s="47" t="n">
        <x:v>107.55055314285714</x:v>
      </x:c>
      <x:c r="G266" s="47" t="str">
        <x:v>Yıl sonu / rapor dönemi</x:v>
      </x:c>
      <x:c r="H266" s="47" t="str">
        <x:v>Türetilmiş</x:v>
      </x:c>
      <x:c r="I266" s="47" t="str">
        <x:v>S15;S23;S23</x:v>
      </x:c>
      <x:c r="J266" s="47" t="str">
        <x:v>https://www.gayrimenkulhaber.com/guncel/endeksa-2024-yillik-gayrimenkul-deger-raporu-yayimlandi/ ; https://betam.bahcesehir.edu.tr/2026/01/sahibindex-kiralik-konut-piyasasi-gorunumu-ocak-2026/ ; https://betam.bahcesehir.edu.tr/2026/01/sahibindex-kiralik-konut-piyasasi-gorunumu-ocak-2026/</x:v>
      </x:c>
      <x:c r="K266" s="48" t="str">
        <x:v>Ortalama kira / kiralık m² fiyatı ile çapraz-kaynak ima edilen alan.</x:v>
      </x:c>
    </x:row>
    <x:row r="267">
      <x:c r="A267" s="46" t="str">
        <x:v>İzmir</x:v>
      </x:c>
      <x:c r="B267" s="47" t="n">
        <x:v>6</x:v>
      </x:c>
      <x:c r="C267" s="47" t="str">
        <x:v>Ortalama kiralanan alan (ima edilen)</x:v>
      </x:c>
      <x:c r="D267" s="47" t="str">
        <x:v>m²</x:v>
      </x:c>
      <x:c r="E267" s="47" t="n">
        <x:v>2026</x:v>
      </x:c>
      <x:c r="F267" s="47" t="n">
        <x:v>99.32803909590716</x:v>
      </x:c>
      <x:c r="G267" s="47" t="str">
        <x:v>Temmuz 2026 son gözlem</x:v>
      </x:c>
      <x:c r="H267" s="47" t="str">
        <x:v>Türetilmiş</x:v>
      </x:c>
      <x:c r="I267" s="47" t="str">
        <x:v>S20;S24</x:v>
      </x:c>
      <x:c r="J267" s="47" t="str">
        <x:v>https://www.emlakjet.com/satilik-konut/izmir ; https://www.cnbce.com/gayrimenkul/konut-piyasasinda-temmuz-hareketliligi-kiralikta-talep-artti-kiralar-reel-olarak-dustu-g36014</x:v>
      </x:c>
      <x:c r="K267" s="48" t="str">
        <x:v>Ortalama kira / kiralık m² fiyatı ile çapraz-kaynak ima edilen alan.</x:v>
      </x:c>
    </x:row>
    <x:row r="268">
      <x:c r="A268" s="46" t="str">
        <x:v>İzmir</x:v>
      </x:c>
      <x:c r="B268" s="47" t="n">
        <x:v>6</x:v>
      </x:c>
      <x:c r="C268" s="47" t="str">
        <x:v>Ortalama kiralanan alan (ima edilen)</x:v>
      </x:c>
      <x:c r="D268" s="47" t="str">
        <x:v>m²</x:v>
      </x:c>
      <x:c r="E268" s="47" t="n">
        <x:v>2027</x:v>
      </x:c>
      <x:c r="F268" s="47" t="n">
        <x:v>99.32803909590716</x:v>
      </x:c>
      <x:c r="G268" s="47" t="str">
        <x:v>Tahmin</x:v>
      </x:c>
      <x:c r="H268" s="47" t="str">
        <x:v>Tahmin</x:v>
      </x:c>
      <x:c r="I268" s="47" t="str">
        <x:v>S20;S24;S28;S29;S24;S28;S29</x:v>
      </x:c>
      <x:c r="J268" s="47" t="str">
        <x:v>https://www.emlakjet.com/satilik-konut/izmir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68" s="48" t="str">
        <x:v>Ortalama kira / kiralık m² fiyatı ile çapraz-kaynak ima edilen alan.</x:v>
      </x:c>
    </x:row>
    <x:row r="269">
      <x:c r="A269" s="46" t="str">
        <x:v>İzmir</x:v>
      </x:c>
      <x:c r="B269" s="47" t="n">
        <x:v>6</x:v>
      </x:c>
      <x:c r="C269" s="47" t="str">
        <x:v>Ortalama kiralanan alan (ima edilen)</x:v>
      </x:c>
      <x:c r="D269" s="47" t="str">
        <x:v>m²</x:v>
      </x:c>
      <x:c r="E269" s="47" t="n">
        <x:v>2028</x:v>
      </x:c>
      <x:c r="F269" s="47" t="n">
        <x:v>99.32803909590716</x:v>
      </x:c>
      <x:c r="G269" s="47" t="str">
        <x:v>Tahmin</x:v>
      </x:c>
      <x:c r="H269" s="47" t="str">
        <x:v>Tahmin</x:v>
      </x:c>
      <x:c r="I269" s="47" t="str">
        <x:v>S20;S24;S28;S29;S24;S28;S29</x:v>
      </x:c>
      <x:c r="J269" s="47" t="str">
        <x:v>https://www.emlakjet.com/satilik-konut/izmir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69" s="48" t="str">
        <x:v>Ortalama kira / kiralık m² fiyatı ile çapraz-kaynak ima edilen alan.</x:v>
      </x:c>
    </x:row>
    <x:row r="270">
      <x:c r="A270" s="46" t="str">
        <x:v>İzmir</x:v>
      </x:c>
      <x:c r="B270" s="47" t="n">
        <x:v>6</x:v>
      </x:c>
      <x:c r="C270" s="47" t="str">
        <x:v>Ortalama kiralanan alan (ima edilen)</x:v>
      </x:c>
      <x:c r="D270" s="47" t="str">
        <x:v>m²</x:v>
      </x:c>
      <x:c r="E270" s="47" t="n">
        <x:v>2029</x:v>
      </x:c>
      <x:c r="F270" s="47" t="n">
        <x:v>99.32803909590716</x:v>
      </x:c>
      <x:c r="G270" s="47" t="str">
        <x:v>Tahmin</x:v>
      </x:c>
      <x:c r="H270" s="47" t="str">
        <x:v>Tahmin</x:v>
      </x:c>
      <x:c r="I270" s="47" t="str">
        <x:v>S20;S24;S28;S29;S24;S28;S29</x:v>
      </x:c>
      <x:c r="J270" s="47" t="str">
        <x:v>https://www.emlakjet.com/satilik-konut/izmir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70" s="48" t="str">
        <x:v>Ortalama kira / kiralık m² fiyatı ile çapraz-kaynak ima edilen alan.</x:v>
      </x:c>
    </x:row>
    <x:row r="271">
      <x:c r="A271" s="46" t="str">
        <x:v>İzmir</x:v>
      </x:c>
      <x:c r="B271" s="47" t="n">
        <x:v>6</x:v>
      </x:c>
      <x:c r="C271" s="47" t="str">
        <x:v>Ortalama kiralanan alan (ima edilen)</x:v>
      </x:c>
      <x:c r="D271" s="47" t="str">
        <x:v>m²</x:v>
      </x:c>
      <x:c r="E271" s="47" t="n">
        <x:v>2030</x:v>
      </x:c>
      <x:c r="F271" s="47" t="n">
        <x:v>99.32803909590716</x:v>
      </x:c>
      <x:c r="G271" s="47" t="str">
        <x:v>Tahmin</x:v>
      </x:c>
      <x:c r="H271" s="47" t="str">
        <x:v>Tahmin</x:v>
      </x:c>
      <x:c r="I271" s="47" t="str">
        <x:v>S20;S24;S28;S29;S24;S28;S29</x:v>
      </x:c>
      <x:c r="J271" s="47" t="str">
        <x:v>https://www.emlakjet.com/satilik-konut/izmir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71" s="48" t="str">
        <x:v>Ortalama kira / kiralık m² fiyatı ile çapraz-kaynak ima edilen alan.</x:v>
      </x:c>
    </x:row>
    <x:row r="272">
      <x:c r="A272" s="46" t="str">
        <x:v>İzmir</x:v>
      </x:c>
      <x:c r="B272" s="47" t="n">
        <x:v>7</x:v>
      </x:c>
      <x:c r="C272" s="47" t="str">
        <x:v>Ortalama kiralık m² fiyatı</x:v>
      </x:c>
      <x:c r="D272" s="47" t="str">
        <x:v>TL/m²/ay</x:v>
      </x:c>
      <x:c r="E272" s="47" t="n">
        <x:v>2022</x:v>
      </x:c>
      <x:c r="F272" s="47" t="n">
        <x:v>68.2</x:v>
      </x:c>
      <x:c r="G272" s="47" t="str">
        <x:v>Yıl sonu / rapor dönemi</x:v>
      </x:c>
      <x:c r="H272" s="47" t="str">
        <x:v>Piyasa verisi</x:v>
      </x:c>
      <x:c r="I272" s="47" t="str">
        <x:v>S21</x:v>
      </x:c>
      <x:c r="J272" s="47" t="str">
        <x:v>https://betam.bahcesehir.edu.tr/2023/01/sahibindex-kiralik-konut-piyasasi-gorunumu-ocak-2023/</x:v>
      </x:c>
      <x:c r="K272" s="48" t="str"/>
    </x:row>
    <x:row r="273">
      <x:c r="A273" s="46" t="str">
        <x:v>İzmir</x:v>
      </x:c>
      <x:c r="B273" s="47" t="n">
        <x:v>7</x:v>
      </x:c>
      <x:c r="C273" s="47" t="str">
        <x:v>Ortalama kiralık m² fiyatı</x:v>
      </x:c>
      <x:c r="D273" s="47" t="str">
        <x:v>TL/m²/ay</x:v>
      </x:c>
      <x:c r="E273" s="47" t="n">
        <x:v>2023</x:v>
      </x:c>
      <x:c r="F273" s="47" t="n">
        <x:v>145.5</x:v>
      </x:c>
      <x:c r="G273" s="47" t="str">
        <x:v>Yıl sonu / rapor dönemi</x:v>
      </x:c>
      <x:c r="H273" s="47" t="str">
        <x:v>Piyasa verisi</x:v>
      </x:c>
      <x:c r="I273" s="47" t="str">
        <x:v>S22</x:v>
      </x:c>
      <x:c r="J273" s="47" t="str">
        <x:v>https://betam.bahcesehir.edu.tr/2024/01/sahibindex-kiralik-konut-piyasasi-gorunumu-ocak-2024/</x:v>
      </x:c>
      <x:c r="K273" s="48" t="str"/>
    </x:row>
    <x:row r="274">
      <x:c r="A274" s="46" t="str">
        <x:v>İzmir</x:v>
      </x:c>
      <x:c r="B274" s="47" t="n">
        <x:v>7</x:v>
      </x:c>
      <x:c r="C274" s="47" t="str">
        <x:v>Ortalama kiralık m² fiyatı</x:v>
      </x:c>
      <x:c r="D274" s="47" t="str">
        <x:v>TL/m²/ay</x:v>
      </x:c>
      <x:c r="E274" s="47" t="n">
        <x:v>2024</x:v>
      </x:c>
      <x:c r="F274" s="47" t="n">
        <x:v>225.08038585209005</x:v>
      </x:c>
      <x:c r="G274" s="47" t="str">
        <x:v>Yıl sonu / rapor dönemi</x:v>
      </x:c>
      <x:c r="H274" s="47" t="str">
        <x:v>Türetilmiş / geriye hesap</x:v>
      </x:c>
      <x:c r="I274" s="47" t="str">
        <x:v>S23</x:v>
      </x:c>
      <x:c r="J274" s="47" t="str">
        <x:v>https://betam.bahcesehir.edu.tr/2026/01/sahibindex-kiralik-konut-piyasasi-gorunumu-ocak-2026/</x:v>
      </x:c>
      <x:c r="K274" s="48" t="str"/>
    </x:row>
    <x:row r="275">
      <x:c r="A275" s="46" t="str">
        <x:v>İzmir</x:v>
      </x:c>
      <x:c r="B275" s="47" t="n">
        <x:v>7</x:v>
      </x:c>
      <x:c r="C275" s="47" t="str">
        <x:v>Ortalama kiralık m² fiyatı</x:v>
      </x:c>
      <x:c r="D275" s="47" t="str">
        <x:v>TL/m²/ay</x:v>
      </x:c>
      <x:c r="E275" s="47" t="n">
        <x:v>2025</x:v>
      </x:c>
      <x:c r="F275" s="47" t="n">
        <x:v>280</x:v>
      </x:c>
      <x:c r="G275" s="47" t="str">
        <x:v>Yıl sonu / rapor dönemi</x:v>
      </x:c>
      <x:c r="H275" s="47" t="str">
        <x:v>Piyasa verisi</x:v>
      </x:c>
      <x:c r="I275" s="47" t="str">
        <x:v>S23</x:v>
      </x:c>
      <x:c r="J275" s="47" t="str">
        <x:v>https://betam.bahcesehir.edu.tr/2026/01/sahibindex-kiralik-konut-piyasasi-gorunumu-ocak-2026/</x:v>
      </x:c>
      <x:c r="K275" s="48" t="str"/>
    </x:row>
    <x:row r="276">
      <x:c r="A276" s="46" t="str">
        <x:v>İzmir</x:v>
      </x:c>
      <x:c r="B276" s="47" t="n">
        <x:v>7</x:v>
      </x:c>
      <x:c r="C276" s="47" t="str">
        <x:v>Ortalama kiralık m² fiyatı</x:v>
      </x:c>
      <x:c r="D276" s="47" t="str">
        <x:v>TL/m²/ay</x:v>
      </x:c>
      <x:c r="E276" s="47" t="n">
        <x:v>2026</x:v>
      </x:c>
      <x:c r="F276" s="47" t="n">
        <x:v>327.4</x:v>
      </x:c>
      <x:c r="G276" s="47" t="str">
        <x:v>Temmuz 2026 son gözlem</x:v>
      </x:c>
      <x:c r="H276" s="47" t="str">
        <x:v>Son piyasa gözlemi</x:v>
      </x:c>
      <x:c r="I276" s="47" t="str">
        <x:v>S24</x:v>
      </x:c>
      <x:c r="J276" s="47" t="str">
        <x:v>https://www.cnbce.com/gayrimenkul/konut-piyasasinda-temmuz-hareketliligi-kiralikta-talep-artti-kiralar-reel-olarak-dustu-g36014</x:v>
      </x:c>
      <x:c r="K276" s="48" t="str"/>
    </x:row>
    <x:row r="277">
      <x:c r="A277" s="46" t="str">
        <x:v>İzmir</x:v>
      </x:c>
      <x:c r="B277" s="47" t="n">
        <x:v>7</x:v>
      </x:c>
      <x:c r="C277" s="47" t="str">
        <x:v>Ortalama kiralık m² fiyatı</x:v>
      </x:c>
      <x:c r="D277" s="47" t="str">
        <x:v>TL/m²/ay</x:v>
      </x:c>
      <x:c r="E277" s="47" t="n">
        <x:v>2027</x:v>
      </x:c>
      <x:c r="F277" s="47" t="n">
        <x:v>376.50999999999993</x:v>
      </x:c>
      <x:c r="G277" s="47" t="str">
        <x:v>Tahmin</x:v>
      </x:c>
      <x:c r="H277" s="47" t="str">
        <x:v>Tahmin</x:v>
      </x:c>
      <x:c r="I277" s="47" t="str">
        <x:v>S24;S28;S29</x:v>
      </x:c>
      <x:c r="J277" s="47" t="str">
        <x:v>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77" s="48" t="str">
        <x:v>Nominal fiyat patikası: 2027 %15, 2028 %9, 2029 %6, 2030 %5.</x:v>
      </x:c>
    </x:row>
    <x:row r="278">
      <x:c r="A278" s="46" t="str">
        <x:v>İzmir</x:v>
      </x:c>
      <x:c r="B278" s="47" t="n">
        <x:v>7</x:v>
      </x:c>
      <x:c r="C278" s="47" t="str">
        <x:v>Ortalama kiralık m² fiyatı</x:v>
      </x:c>
      <x:c r="D278" s="47" t="str">
        <x:v>TL/m²/ay</x:v>
      </x:c>
      <x:c r="E278" s="47" t="n">
        <x:v>2028</x:v>
      </x:c>
      <x:c r="F278" s="47" t="n">
        <x:v>410.3959</x:v>
      </x:c>
      <x:c r="G278" s="47" t="str">
        <x:v>Tahmin</x:v>
      </x:c>
      <x:c r="H278" s="47" t="str">
        <x:v>Tahmin</x:v>
      </x:c>
      <x:c r="I278" s="47" t="str">
        <x:v>S24;S28;S29</x:v>
      </x:c>
      <x:c r="J278" s="47" t="str">
        <x:v>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78" s="48" t="str">
        <x:v>Nominal fiyat patikası: 2027 %15, 2028 %9, 2029 %6, 2030 %5.</x:v>
      </x:c>
    </x:row>
    <x:row r="279">
      <x:c r="A279" s="46" t="str">
        <x:v>İzmir</x:v>
      </x:c>
      <x:c r="B279" s="47" t="n">
        <x:v>7</x:v>
      </x:c>
      <x:c r="C279" s="47" t="str">
        <x:v>Ortalama kiralık m² fiyatı</x:v>
      </x:c>
      <x:c r="D279" s="47" t="str">
        <x:v>TL/m²/ay</x:v>
      </x:c>
      <x:c r="E279" s="47" t="n">
        <x:v>2029</x:v>
      </x:c>
      <x:c r="F279" s="47" t="n">
        <x:v>435.019654</x:v>
      </x:c>
      <x:c r="G279" s="47" t="str">
        <x:v>Tahmin</x:v>
      </x:c>
      <x:c r="H279" s="47" t="str">
        <x:v>Tahmin</x:v>
      </x:c>
      <x:c r="I279" s="47" t="str">
        <x:v>S24;S28;S29</x:v>
      </x:c>
      <x:c r="J279" s="47" t="str">
        <x:v>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79" s="48" t="str">
        <x:v>Nominal fiyat patikası: 2027 %15, 2028 %9, 2029 %6, 2030 %5.</x:v>
      </x:c>
    </x:row>
    <x:row r="280">
      <x:c r="A280" s="46" t="str">
        <x:v>İzmir</x:v>
      </x:c>
      <x:c r="B280" s="47" t="n">
        <x:v>7</x:v>
      </x:c>
      <x:c r="C280" s="47" t="str">
        <x:v>Ortalama kiralık m² fiyatı</x:v>
      </x:c>
      <x:c r="D280" s="47" t="str">
        <x:v>TL/m²/ay</x:v>
      </x:c>
      <x:c r="E280" s="47" t="n">
        <x:v>2030</x:v>
      </x:c>
      <x:c r="F280" s="47" t="n">
        <x:v>456.7706367</x:v>
      </x:c>
      <x:c r="G280" s="47" t="str">
        <x:v>Tahmin</x:v>
      </x:c>
      <x:c r="H280" s="47" t="str">
        <x:v>Tahmin</x:v>
      </x:c>
      <x:c r="I280" s="47" t="str">
        <x:v>S24;S28;S29</x:v>
      </x:c>
      <x:c r="J280" s="47" t="str">
        <x:v>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80" s="48" t="str">
        <x:v>Nominal fiyat patikası: 2027 %15, 2028 %9, 2029 %6, 2030 %5.</x:v>
      </x:c>
    </x:row>
    <x:row r="281">
      <x:c r="A281" s="46" t="str">
        <x:v>İzmir</x:v>
      </x:c>
      <x:c r="B281" s="47" t="n">
        <x:v>8</x:v>
      </x:c>
      <x:c r="C281" s="47" t="str">
        <x:v>Ortalama kira fiyatı</x:v>
      </x:c>
      <x:c r="D281" s="47" t="str">
        <x:v>TL/ay</x:v>
      </x:c>
      <x:c r="E281" s="47" t="n">
        <x:v>2022</x:v>
      </x:c>
      <x:c r="F281" s="47" t="n">
        <x:v>7272.146118721462</x:v>
      </x:c>
      <x:c r="G281" s="47" t="str">
        <x:v>Yıl sonu / rapor dönemi</x:v>
      </x:c>
      <x:c r="H281" s="47" t="str">
        <x:v>Türetilmiş / geriye hesap</x:v>
      </x:c>
      <x:c r="I281" s="47" t="str">
        <x:v>S14</x:v>
      </x:c>
      <x:c r="J281" s="47" t="str">
        <x:v>https://www.gayrimenkulhaber.com/guncel/endeksa-acikladi-aralik-ayinda-kira-artisi-hiz-kesti-bazi-bolgelerde-dususler-var/</x:v>
      </x:c>
      <x:c r="K281" s="48" t="str"/>
    </x:row>
    <x:row r="282">
      <x:c r="A282" s="46" t="str">
        <x:v>İzmir</x:v>
      </x:c>
      <x:c r="B282" s="47" t="n">
        <x:v>8</x:v>
      </x:c>
      <x:c r="C282" s="47" t="str">
        <x:v>Ortalama kira fiyatı</x:v>
      </x:c>
      <x:c r="D282" s="47" t="str">
        <x:v>TL/ay</x:v>
      </x:c>
      <x:c r="E282" s="47" t="n">
        <x:v>2023</x:v>
      </x:c>
      <x:c r="F282" s="47" t="n">
        <x:v>15926</x:v>
      </x:c>
      <x:c r="G282" s="47" t="str">
        <x:v>Yıl sonu / rapor dönemi</x:v>
      </x:c>
      <x:c r="H282" s="47" t="str">
        <x:v>Piyasa verisi</x:v>
      </x:c>
      <x:c r="I282" s="47" t="str">
        <x:v>S14</x:v>
      </x:c>
      <x:c r="J282" s="47" t="str">
        <x:v>https://www.gayrimenkulhaber.com/guncel/endeksa-acikladi-aralik-ayinda-kira-artisi-hiz-kesti-bazi-bolgelerde-dususler-var/</x:v>
      </x:c>
      <x:c r="K282" s="48" t="str"/>
    </x:row>
    <x:row r="283">
      <x:c r="A283" s="46" t="str">
        <x:v>İzmir</x:v>
      </x:c>
      <x:c r="B283" s="47" t="n">
        <x:v>8</x:v>
      </x:c>
      <x:c r="C283" s="47" t="str">
        <x:v>Ortalama kira fiyatı</x:v>
      </x:c>
      <x:c r="D283" s="47" t="str">
        <x:v>TL/ay</x:v>
      </x:c>
      <x:c r="E283" s="47" t="n">
        <x:v>2024</x:v>
      </x:c>
      <x:c r="F283" s="47" t="n">
        <x:v>24207.52</x:v>
      </x:c>
      <x:c r="G283" s="47" t="str">
        <x:v>Yıl sonu / rapor dönemi</x:v>
      </x:c>
      <x:c r="H283" s="47" t="str">
        <x:v>Türetilmiş / model</x:v>
      </x:c>
      <x:c r="I283" s="47" t="str">
        <x:v>S15</x:v>
      </x:c>
      <x:c r="J283" s="47" t="str">
        <x:v>https://www.gayrimenkulhaber.com/guncel/endeksa-2024-yillik-gayrimenkul-deger-raporu-yayimlandi/</x:v>
      </x:c>
      <x:c r="K283" s="48" t="str"/>
    </x:row>
    <x:row r="284">
      <x:c r="A284" s="46" t="str">
        <x:v>İzmir</x:v>
      </x:c>
      <x:c r="B284" s="47" t="n">
        <x:v>8</x:v>
      </x:c>
      <x:c r="C284" s="47" t="str">
        <x:v>Ortalama kira fiyatı</x:v>
      </x:c>
      <x:c r="D284" s="47" t="str">
        <x:v>TL/ay</x:v>
      </x:c>
      <x:c r="E284" s="47" t="n">
        <x:v>2025</x:v>
      </x:c>
      <x:c r="F284" s="47" t="n">
        <x:v>30114.15488</x:v>
      </x:c>
      <x:c r="G284" s="47" t="str">
        <x:v>Yıl sonu / rapor dönemi</x:v>
      </x:c>
      <x:c r="H284" s="47" t="str">
        <x:v>Türetilmiş / model</x:v>
      </x:c>
      <x:c r="I284" s="47" t="str">
        <x:v>S15;S23</x:v>
      </x:c>
      <x:c r="J284" s="47" t="str">
        <x:v>https://www.gayrimenkulhaber.com/guncel/endeksa-2024-yillik-gayrimenkul-deger-raporu-yayimlandi/ ; https://betam.bahcesehir.edu.tr/2026/01/sahibindex-kiralik-konut-piyasasi-gorunumu-ocak-2026/</x:v>
      </x:c>
      <x:c r="K284" s="48" t="str"/>
    </x:row>
    <x:row r="285">
      <x:c r="A285" s="46" t="str">
        <x:v>İzmir</x:v>
      </x:c>
      <x:c r="B285" s="47" t="n">
        <x:v>8</x:v>
      </x:c>
      <x:c r="C285" s="47" t="str">
        <x:v>Ortalama kira fiyatı</x:v>
      </x:c>
      <x:c r="D285" s="47" t="str">
        <x:v>TL/ay</x:v>
      </x:c>
      <x:c r="E285" s="47" t="n">
        <x:v>2026</x:v>
      </x:c>
      <x:c r="F285" s="47" t="n">
        <x:v>32520</x:v>
      </x:c>
      <x:c r="G285" s="47" t="str">
        <x:v>Temmuz 2026 son gözlem</x:v>
      </x:c>
      <x:c r="H285" s="47" t="str">
        <x:v>Son piyasa gözlemi</x:v>
      </x:c>
      <x:c r="I285" s="47" t="str">
        <x:v>S20</x:v>
      </x:c>
      <x:c r="J285" s="47" t="str">
        <x:v>https://www.emlakjet.com/satilik-konut/izmir</x:v>
      </x:c>
      <x:c r="K285" s="48" t="str"/>
    </x:row>
    <x:row r="286">
      <x:c r="A286" s="46" t="str">
        <x:v>İzmir</x:v>
      </x:c>
      <x:c r="B286" s="47" t="n">
        <x:v>8</x:v>
      </x:c>
      <x:c r="C286" s="47" t="str">
        <x:v>Ortalama kira fiyatı</x:v>
      </x:c>
      <x:c r="D286" s="47" t="str">
        <x:v>TL/ay</x:v>
      </x:c>
      <x:c r="E286" s="47" t="n">
        <x:v>2027</x:v>
      </x:c>
      <x:c r="F286" s="47" t="n">
        <x:v>37398</x:v>
      </x:c>
      <x:c r="G286" s="47" t="str">
        <x:v>Tahmin</x:v>
      </x:c>
      <x:c r="H286" s="47" t="str">
        <x:v>Tahmin</x:v>
      </x:c>
      <x:c r="I286" s="47" t="str">
        <x:v>S20;S24;S28;S29</x:v>
      </x:c>
      <x:c r="J286" s="47" t="str">
        <x:v>https://www.emlakjet.com/satilik-konut/izmir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86" s="48" t="str"/>
    </x:row>
    <x:row r="287">
      <x:c r="A287" s="46" t="str">
        <x:v>İzmir</x:v>
      </x:c>
      <x:c r="B287" s="47" t="n">
        <x:v>8</x:v>
      </x:c>
      <x:c r="C287" s="47" t="str">
        <x:v>Ortalama kira fiyatı</x:v>
      </x:c>
      <x:c r="D287" s="47" t="str">
        <x:v>TL/ay</x:v>
      </x:c>
      <x:c r="E287" s="47" t="n">
        <x:v>2028</x:v>
      </x:c>
      <x:c r="F287" s="47" t="n">
        <x:v>40763.82</x:v>
      </x:c>
      <x:c r="G287" s="47" t="str">
        <x:v>Tahmin</x:v>
      </x:c>
      <x:c r="H287" s="47" t="str">
        <x:v>Tahmin</x:v>
      </x:c>
      <x:c r="I287" s="47" t="str">
        <x:v>S20;S24;S28;S29</x:v>
      </x:c>
      <x:c r="J287" s="47" t="str">
        <x:v>https://www.emlakjet.com/satilik-konut/izmir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87" s="48" t="str"/>
    </x:row>
    <x:row r="288">
      <x:c r="A288" s="46" t="str">
        <x:v>İzmir</x:v>
      </x:c>
      <x:c r="B288" s="47" t="n">
        <x:v>8</x:v>
      </x:c>
      <x:c r="C288" s="47" t="str">
        <x:v>Ortalama kira fiyatı</x:v>
      </x:c>
      <x:c r="D288" s="47" t="str">
        <x:v>TL/ay</x:v>
      </x:c>
      <x:c r="E288" s="47" t="n">
        <x:v>2029</x:v>
      </x:c>
      <x:c r="F288" s="47" t="n">
        <x:v>43209.64920000001</x:v>
      </x:c>
      <x:c r="G288" s="47" t="str">
        <x:v>Tahmin</x:v>
      </x:c>
      <x:c r="H288" s="47" t="str">
        <x:v>Tahmin</x:v>
      </x:c>
      <x:c r="I288" s="47" t="str">
        <x:v>S20;S24;S28;S29</x:v>
      </x:c>
      <x:c r="J288" s="47" t="str">
        <x:v>https://www.emlakjet.com/satilik-konut/izmir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88" s="48" t="str"/>
    </x:row>
    <x:row r="289">
      <x:c r="A289" s="56" t="str">
        <x:v>İzmir</x:v>
      </x:c>
      <x:c r="B289" s="58" t="n">
        <x:v>8</x:v>
      </x:c>
      <x:c r="C289" s="58" t="str">
        <x:v>Ortalama kira fiyatı</x:v>
      </x:c>
      <x:c r="D289" s="58" t="str">
        <x:v>TL/ay</x:v>
      </x:c>
      <x:c r="E289" s="58" t="n">
        <x:v>2030</x:v>
      </x:c>
      <x:c r="F289" s="58" t="n">
        <x:v>45370.13166000001</x:v>
      </x:c>
      <x:c r="G289" s="58" t="str">
        <x:v>Tahmin</x:v>
      </x:c>
      <x:c r="H289" s="58" t="str">
        <x:v>Tahmin</x:v>
      </x:c>
      <x:c r="I289" s="58" t="str">
        <x:v>S20;S24;S28;S29</x:v>
      </x:c>
      <x:c r="J289" s="58" t="str">
        <x:v>https://www.emlakjet.com/satilik-konut/izmir ; https://www.cnbce.com/gayrimenkul/konut-piyasasinda-temmuz-hareketliligi-kiralikta-talep-artti-kiralar-reel-olarak-dustu-g36014 ; https://tcmb.gov.tr/wps/wcm/connect/tr/tcmb%2Btr/main%2Bmenu/duyurular/baskanin%2Bkonusmalari/2026/konusmab13_08_2026 ; https://www.aa.com.tr/tr/ekonomi/tcmb-baskani-karahan-2026-yil-sonu-enflasyon-tahminimizi-yuzde-28-olarak-yukari-yonlu-guncelledik/4025976</x:v>
      </x:c>
      <x:c r="K289" s="59" t="str"/>
    </x:row>
  </x:sheetData>
  <x:pageMargins left="0.7" right="0.7" top="0.75" bottom="0.75" header="0.3" footer="0.3"/>
  <x:tableParts count="1">
    <x:tablePart xmlns:r="http://schemas.openxmlformats.org/officeDocument/2006/relationships" r:id="Raa03fc19d66343e4"/>
  </x:tableParts>
</x:worksheet>
</file>