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indekiler" sheetId="1" state="visible" r:id="rId1"/>
    <sheet xmlns:r="http://schemas.openxmlformats.org/officeDocument/2006/relationships" name="Varsayimlar" sheetId="2" state="visible" r:id="rId2"/>
    <sheet xmlns:r="http://schemas.openxmlformats.org/officeDocument/2006/relationships" name="Projeksiyonlar" sheetId="3" state="visible" r:id="rId3"/>
    <sheet xmlns:r="http://schemas.openxmlformats.org/officeDocument/2006/relationships" name="Degerleme_ve_Yatirim" sheetId="4" state="visible" r:id="rId4"/>
    <sheet xmlns:r="http://schemas.openxmlformats.org/officeDocument/2006/relationships" name="Grafikler" sheetId="5" state="visible" r:id="rId5"/>
    <sheet xmlns:r="http://schemas.openxmlformats.org/officeDocument/2006/relationships" name="Kontrol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₺&quot;#,##0"/>
    <numFmt numFmtId="165" formatCode="0.0%"/>
    <numFmt numFmtId="166" formatCode="&quot;$&quot;#,##0"/>
    <numFmt numFmtId="167" formatCode="0.0&quot;x&quot;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563C1"/>
      <sz val="11"/>
      <u val="single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6DCE4"/>
        <bgColor rgb="00D6DCE4"/>
      </patternFill>
    </fill>
    <fill>
      <patternFill patternType="solid">
        <fgColor rgb="004472C4"/>
        <bgColor rgb="004472C4"/>
      </patternFill>
    </fill>
  </fills>
  <borders count="9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2F5496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7" borderId="0" pivotButton="0" quotePrefix="0" xfId="0"/>
    <xf numFmtId="0" fontId="6" fillId="4" borderId="6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4" fillId="0" borderId="0" pivotButton="0" quotePrefix="0" xfId="0"/>
    <xf numFmtId="3" fontId="6" fillId="4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3" fillId="8" borderId="1" pivotButton="0" quotePrefix="0" xfId="0"/>
    <xf numFmtId="0" fontId="0" fillId="8" borderId="1" pivotButton="0" quotePrefix="0" xfId="0"/>
    <xf numFmtId="0" fontId="4" fillId="0" borderId="1" applyAlignment="1" pivotButton="0" quotePrefix="0" xfId="0">
      <alignment horizontal="left" vertical="center" indent="1"/>
    </xf>
    <xf numFmtId="0" fontId="2" fillId="0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2" fillId="7" borderId="7" applyAlignment="1" pivotButton="0" quotePrefix="0" xfId="0">
      <alignment horizontal="center" vertical="center"/>
    </xf>
    <xf numFmtId="164" fontId="6" fillId="7" borderId="7" applyAlignment="1" pivotButton="0" quotePrefix="0" xfId="0">
      <alignment horizontal="right" vertical="center"/>
    </xf>
    <xf numFmtId="166" fontId="6" fillId="7" borderId="7" applyAlignment="1" pivotButton="0" quotePrefix="0" xfId="0">
      <alignment horizontal="right" vertical="center"/>
    </xf>
    <xf numFmtId="165" fontId="6" fillId="7" borderId="7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5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6" fontId="6" fillId="5" borderId="7" applyAlignment="1" pivotButton="0" quotePrefix="0" xfId="0">
      <alignment horizontal="right" vertical="center"/>
    </xf>
    <xf numFmtId="167" fontId="6" fillId="5" borderId="1" applyAlignment="1" pivotButton="0" quotePrefix="0" xfId="0">
      <alignment horizontal="right" vertical="center"/>
    </xf>
    <xf numFmtId="165" fontId="6" fillId="5" borderId="8" applyAlignment="1" pivotButton="0" quotePrefix="0" xfId="0">
      <alignment horizontal="right" vertical="center"/>
    </xf>
    <xf numFmtId="166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165" fontId="6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 Yıllık Finansal Büyüme Projeksiyonu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'Grafikler'!A5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'Grafikler'!$B$5:$F$5</f>
            </numRef>
          </cat>
          <val>
            <numRef>
              <f>'Grafikler'!$B$5:$F$5</f>
            </numRef>
          </val>
        </ser>
        <ser>
          <idx val="1"/>
          <order val="1"/>
          <tx>
            <strRef>
              <f>'Grafikler'!A6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'Grafikler'!$B$5:$F$5</f>
            </numRef>
          </cat>
          <val>
            <numRef>
              <f>'Grafikler'!$B$6:$F$6</f>
            </numRef>
          </val>
        </ser>
        <ser>
          <idx val="2"/>
          <order val="2"/>
          <tx>
            <strRef>
              <f>'Grafikler'!A7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'Grafikler'!$B$5:$F$5</f>
            </numRef>
          </cat>
          <val>
            <numRef>
              <f>'Grafikler'!$B$7:$F$7</f>
            </numRef>
          </val>
        </ser>
        <ser>
          <idx val="3"/>
          <order val="3"/>
          <tx>
            <strRef>
              <f>'Grafikler'!A8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'Grafikler'!$B$5:$F$5</f>
            </numRef>
          </cat>
          <val>
            <numRef>
              <f>'Grafikler'!$B$8:$F$8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Yıl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Talep Edilen 250.000 $'lık Yatırımın Kullanım Dağılımı</a:t>
            </a:r>
          </a:p>
        </rich>
      </tx>
    </title>
    <plotArea>
      <pieChart>
        <varyColors val="1"/>
        <ser>
          <idx val="0"/>
          <order val="0"/>
          <tx>
            <strRef>
              <f>'Grafikler'!I5</f>
            </strRef>
          </tx>
          <spPr>
            <a:ln xmlns:a="http://schemas.openxmlformats.org/drawingml/2006/main">
              <a:prstDash val="solid"/>
            </a:ln>
          </spPr>
          <cat>
            <numRef>
              <f>'Grafikler'!$H$6:$H$9</f>
            </numRef>
          </cat>
          <val>
            <numRef>
              <f>'Grafikler'!$I$6:$I$9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10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/>
    <row r="2">
      <c r="A2" s="1" t="inlineStr">
        <is>
          <t>MülkVera - Finansal Projeksiyon Modeli</t>
        </is>
      </c>
    </row>
    <row r="3">
      <c r="A3" s="2" t="inlineStr">
        <is>
          <t>Sürüm: v1.0 | Güncelleme Tarihi: 2026-08-11</t>
        </is>
      </c>
    </row>
    <row r="4"/>
    <row r="5">
      <c r="A5" s="3" t="inlineStr">
        <is>
          <t>Bölüm</t>
        </is>
      </c>
      <c r="B5" s="3" t="inlineStr">
        <is>
          <t>Sayfa Adı</t>
        </is>
      </c>
      <c r="C5" s="3" t="inlineStr">
        <is>
          <t>Açıklama</t>
        </is>
      </c>
      <c r="D5" s="3" t="inlineStr">
        <is>
          <t>İçerdiği Temel Metrikler</t>
        </is>
      </c>
      <c r="E5" s="3" t="inlineStr">
        <is>
          <t>Navigasyon</t>
        </is>
      </c>
    </row>
    <row r="6">
      <c r="A6" s="4" t="inlineStr">
        <is>
          <t>1</t>
        </is>
      </c>
      <c r="B6" s="4" t="inlineStr">
        <is>
          <t>Icindekiler</t>
        </is>
      </c>
      <c r="C6" s="5" t="inlineStr">
        <is>
          <t>Model haritası ve biçimlendirme açıklamaları</t>
        </is>
      </c>
      <c r="D6" s="5" t="inlineStr">
        <is>
          <t>Tüm sayfaların listesi ve renk lejantı</t>
        </is>
      </c>
      <c r="E6" s="6">
        <f>HYPERLINK("#Icindekiler!A1", "Git →")</f>
        <v/>
      </c>
    </row>
    <row r="7">
      <c r="A7" s="7" t="inlineStr">
        <is>
          <t>2</t>
        </is>
      </c>
      <c r="B7" s="7" t="inlineStr">
        <is>
          <t>Varsayimlar</t>
        </is>
      </c>
      <c r="C7" s="8" t="inlineStr">
        <is>
          <t>Dinamik senaryo seçici ve finansal girdiler</t>
        </is>
      </c>
      <c r="D7" s="8" t="inlineStr">
        <is>
          <t>Dolar Kuru, Ortalama Konut Fiyatı, Senaryolar</t>
        </is>
      </c>
      <c r="E7" s="9">
        <f>HYPERLINK("#Varsayimlar!A1", "Git →")</f>
        <v/>
      </c>
    </row>
    <row r="8">
      <c r="A8" s="4" t="inlineStr">
        <is>
          <t>3</t>
        </is>
      </c>
      <c r="B8" s="4" t="inlineStr">
        <is>
          <t>Projeksiyonlar</t>
        </is>
      </c>
      <c r="C8" s="5" t="inlineStr">
        <is>
          <t>5 yıllık dinamik gelir ve gider tablosu (TL &amp; USD)</t>
        </is>
      </c>
      <c r="D8" s="5" t="inlineStr">
        <is>
          <t>Ciro, Teşvikler, Pazarlama Giderleri, Net Kâr</t>
        </is>
      </c>
      <c r="E8" s="6">
        <f>HYPERLINK("#Projeksiyonlar!A1", "Git →")</f>
        <v/>
      </c>
    </row>
    <row r="9">
      <c r="A9" s="7" t="inlineStr">
        <is>
          <t>4</t>
        </is>
      </c>
      <c r="B9" s="7" t="inlineStr">
        <is>
          <t>Degerleme_ve_Yatirim</t>
        </is>
      </c>
      <c r="C9" s="8" t="inlineStr">
        <is>
          <t>Yatırımcı geri dönüşü ve şirket değerlemesi</t>
        </is>
      </c>
      <c r="D9" s="8" t="inlineStr">
        <is>
          <t>EBITDA Çarpanı, Yatırım Getirisi (IRR), Payback</t>
        </is>
      </c>
      <c r="E9" s="9">
        <f>HYPERLINK("#Degerleme_ve_Yatirim!A1", "Git →")</f>
        <v/>
      </c>
    </row>
    <row r="10">
      <c r="A10" s="4" t="inlineStr">
        <is>
          <t>5</t>
        </is>
      </c>
      <c r="B10" s="4" t="inlineStr">
        <is>
          <t>Grafikler</t>
        </is>
      </c>
      <c r="C10" s="5" t="inlineStr">
        <is>
          <t>Finansal büyümeyi gösteren görsel grafikler</t>
        </is>
      </c>
      <c r="D10" s="5" t="inlineStr">
        <is>
          <t>Gelir ve EBITDA Gelişimi, Yatırım Dağılımı</t>
        </is>
      </c>
      <c r="E10" s="6">
        <f>HYPERLINK("#Grafikler!A1", "Git →")</f>
        <v/>
      </c>
    </row>
    <row r="11">
      <c r="A11" s="7" t="inlineStr">
        <is>
          <t>6</t>
        </is>
      </c>
      <c r="B11" s="7" t="inlineStr">
        <is>
          <t>Kontroller</t>
        </is>
      </c>
      <c r="C11" s="8" t="inlineStr">
        <is>
          <t>Model formül ve matematik doğrulama tablosu</t>
        </is>
      </c>
      <c r="D11" s="8" t="inlineStr">
        <is>
          <t>Formül bütünlüğü ve tutarlılık testleri</t>
        </is>
      </c>
      <c r="E11" s="9">
        <f>HYPERLINK("#Kontroller!A1", "Git →")</f>
        <v/>
      </c>
    </row>
    <row r="12"/>
    <row r="13"/>
    <row r="14">
      <c r="A14" s="10" t="inlineStr">
        <is>
          <t>Model Biçimlendirme Lejantı</t>
        </is>
      </c>
    </row>
    <row r="15"/>
    <row r="16">
      <c r="A16" s="11" t="inlineStr">
        <is>
          <t>Mavi Dolgu</t>
        </is>
      </c>
      <c r="B16" s="12" t="inlineStr">
        <is>
          <t>Girdi Hücresi (Kullanıcı tarafından değiştirilebilir assumptions)</t>
        </is>
      </c>
      <c r="C16" s="13" t="n"/>
      <c r="D16" s="14" t="n"/>
    </row>
    <row r="17">
      <c r="A17" s="15" t="inlineStr">
        <is>
          <t>Yeşil Dolgu</t>
        </is>
      </c>
      <c r="B17" s="12" t="inlineStr">
        <is>
          <t>Hesaplama Hücresi (Formülle dinamik olarak üretilen sonuçlar)</t>
        </is>
      </c>
      <c r="C17" s="13" t="n"/>
      <c r="D17" s="14" t="n"/>
    </row>
    <row r="18">
      <c r="A18" s="16" t="inlineStr">
        <is>
          <t>Açık Sarı Dolgu</t>
        </is>
      </c>
      <c r="B18" s="12" t="inlineStr">
        <is>
          <t>Geçici Veri / Yer Tutucu (İleride gerçek verilerle güncellenmeli)</t>
        </is>
      </c>
      <c r="C18" s="13" t="n"/>
      <c r="D18" s="14" t="n"/>
    </row>
    <row r="19">
      <c r="A19" s="17" t="inlineStr">
        <is>
          <t>Koyu Mavi Dolgu</t>
        </is>
      </c>
      <c r="B19" s="12" t="inlineStr">
        <is>
          <t>Tablo Başlıkları ve Genel Toplamlar</t>
        </is>
      </c>
      <c r="C19" s="13" t="n"/>
      <c r="D19" s="14" t="n"/>
    </row>
  </sheetData>
  <mergeCells count="4">
    <mergeCell ref="B17:D17"/>
    <mergeCell ref="B18:D18"/>
    <mergeCell ref="B19:D19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/>
    <row r="2">
      <c r="A2" s="1" t="inlineStr">
        <is>
          <t>MülkVera - Finansal Varsayımlar</t>
        </is>
      </c>
    </row>
    <row r="3"/>
    <row r="4">
      <c r="A4" s="18" t="inlineStr">
        <is>
          <t>AKTİF SENARYO SEÇİCİ</t>
        </is>
      </c>
      <c r="B4" s="19" t="n">
        <v>1</v>
      </c>
      <c r="C4" s="2" t="inlineStr">
        <is>
          <t>&lt;- DEĞİŞTİRİN (1 = Taban Senaryo, 2 = İyimser Senaryo, 3 = Kötümser Senaryo)</t>
        </is>
      </c>
    </row>
    <row r="5"/>
    <row r="6">
      <c r="A6" s="20" t="inlineStr">
        <is>
          <t>GENEL PAZAR VARYASYONLARI VE PARAMETRELERİ</t>
        </is>
      </c>
    </row>
    <row r="7">
      <c r="A7" s="21" t="inlineStr">
        <is>
          <t>Dolar Kuru (USD/TRY)</t>
        </is>
      </c>
      <c r="B7" s="22" t="n">
        <v>34</v>
      </c>
    </row>
    <row r="8">
      <c r="A8" s="21" t="inlineStr">
        <is>
          <t>Yıllık Ortalama Konut Fiyatı (TL)</t>
        </is>
      </c>
      <c r="B8" s="23" t="n">
        <v>5000000</v>
      </c>
    </row>
    <row r="9">
      <c r="A9" s="21" t="inlineStr">
        <is>
          <t>Konut Fiyatı Yıllık Artış Oranı (Enflasyon)</t>
        </is>
      </c>
      <c r="B9" s="24" t="n">
        <v>0.15</v>
      </c>
    </row>
    <row r="10">
      <c r="A10" s="21" t="inlineStr">
        <is>
          <t>Alıcı Komisyon Oranı (%)</t>
        </is>
      </c>
      <c r="B10" s="24" t="n">
        <v>0.02</v>
      </c>
    </row>
    <row r="11">
      <c r="A11" s="21" t="inlineStr">
        <is>
          <t>İstanbul Konut Satış Pazarı (Yıllık Adet)</t>
        </is>
      </c>
      <c r="B11" s="22" t="n">
        <v>230000</v>
      </c>
    </row>
    <row r="12">
      <c r="A12" s="21" t="inlineStr">
        <is>
          <t>Pazar Yıllık Adet Artışı (%)</t>
        </is>
      </c>
      <c r="B12" s="24" t="n">
        <v>0.05</v>
      </c>
    </row>
    <row r="13">
      <c r="A13" s="21" t="inlineStr">
        <is>
          <t>Talep Edilen Yatırım Tutarı ($)</t>
        </is>
      </c>
      <c r="B13" s="25" t="n">
        <v>250000</v>
      </c>
    </row>
    <row r="14">
      <c r="A14" s="21" t="inlineStr">
        <is>
          <t>Yatırım Karşılığı Teklif Edilen Hisse (%)</t>
        </is>
      </c>
      <c r="B14" s="24" t="n">
        <v>0.25</v>
      </c>
    </row>
    <row r="15"/>
    <row r="16">
      <c r="A16" s="20" t="inlineStr">
        <is>
          <t>YATIRIM FONUNUN KULLANIM DAĞILIMI</t>
        </is>
      </c>
    </row>
    <row r="17">
      <c r="A17" s="21" t="inlineStr">
        <is>
          <t>Pazarlama ve Dijital Reklam bütçesi</t>
        </is>
      </c>
      <c r="B17" s="24" t="n">
        <v>0.6</v>
      </c>
    </row>
    <row r="18">
      <c r="A18" s="21" t="inlineStr">
        <is>
          <t>3D Kamera ve Çekim Ekipmanı</t>
        </is>
      </c>
      <c r="B18" s="24" t="n">
        <v>0.2</v>
      </c>
    </row>
    <row r="19">
      <c r="A19" s="21" t="inlineStr">
        <is>
          <t>Yazılım ve Sunucu Geliştirme</t>
        </is>
      </c>
      <c r="B19" s="24" t="n">
        <v>0.1</v>
      </c>
    </row>
    <row r="20">
      <c r="A20" s="21" t="inlineStr">
        <is>
          <t>Operasyonel ve Genel Giderler</t>
        </is>
      </c>
      <c r="B20" s="24" t="n">
        <v>0.1</v>
      </c>
    </row>
    <row r="21"/>
    <row r="22"/>
    <row r="23">
      <c r="A23" s="20" t="inlineStr">
        <is>
          <t>SENARYO MATRİSİ: 5 YILLIK HEDEFLENEN İŞLEM ADETLERİ</t>
        </is>
      </c>
    </row>
    <row r="24">
      <c r="A24" s="3" t="inlineStr">
        <is>
          <t>ID</t>
        </is>
      </c>
      <c r="B24" s="3" t="inlineStr">
        <is>
          <t>Senaryo Tanımı</t>
        </is>
      </c>
      <c r="C24" s="3" t="inlineStr">
        <is>
          <t>Yıl 1 (2026)</t>
        </is>
      </c>
      <c r="D24" s="3" t="inlineStr">
        <is>
          <t>Yıl 2 (2027)</t>
        </is>
      </c>
      <c r="E24" s="3" t="inlineStr">
        <is>
          <t>Yıl 3 (2028)</t>
        </is>
      </c>
      <c r="F24" s="3" t="inlineStr">
        <is>
          <t>Yıl 4 (2029)</t>
        </is>
      </c>
      <c r="G24" s="3" t="inlineStr">
        <is>
          <t>Yıl 5 (2030)</t>
        </is>
      </c>
    </row>
    <row r="25">
      <c r="A25" s="4" t="n">
        <v>1</v>
      </c>
      <c r="B25" s="5" t="inlineStr">
        <is>
          <t>Taban Senaryo (Base Case)</t>
        </is>
      </c>
      <c r="C25" s="26" t="n">
        <v>230</v>
      </c>
      <c r="D25" s="26" t="n">
        <v>750</v>
      </c>
      <c r="E25" s="26" t="n">
        <v>2200</v>
      </c>
      <c r="F25" s="26" t="n">
        <v>5500</v>
      </c>
      <c r="G25" s="26" t="n">
        <v>11000</v>
      </c>
    </row>
    <row r="26">
      <c r="A26" s="4" t="n">
        <v>2</v>
      </c>
      <c r="B26" s="5" t="inlineStr">
        <is>
          <t>İyimser Senaryo (Bull Case)</t>
        </is>
      </c>
      <c r="C26" s="26" t="n">
        <v>350</v>
      </c>
      <c r="D26" s="26" t="n">
        <v>1200</v>
      </c>
      <c r="E26" s="26" t="n">
        <v>3500</v>
      </c>
      <c r="F26" s="26" t="n">
        <v>8000</v>
      </c>
      <c r="G26" s="26" t="n">
        <v>15000</v>
      </c>
    </row>
    <row r="27">
      <c r="A27" s="4" t="n">
        <v>3</v>
      </c>
      <c r="B27" s="5" t="inlineStr">
        <is>
          <t>Kötümser Senaryo (Bear Case)</t>
        </is>
      </c>
      <c r="C27" s="26" t="n">
        <v>120</v>
      </c>
      <c r="D27" s="26" t="n">
        <v>400</v>
      </c>
      <c r="E27" s="26" t="n">
        <v>1000</v>
      </c>
      <c r="F27" s="26" t="n">
        <v>2500</v>
      </c>
      <c r="G27" s="26" t="n">
        <v>5000</v>
      </c>
    </row>
  </sheetData>
  <mergeCells count="3">
    <mergeCell ref="A16:C16"/>
    <mergeCell ref="A6:C6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5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/>
    <row r="2">
      <c r="A2" s="1" t="inlineStr">
        <is>
          <t>5 Yıllık Finansal Gelir ve Gider Projeksiyonları</t>
        </is>
      </c>
    </row>
    <row r="3"/>
    <row r="4">
      <c r="A4" s="3" t="inlineStr">
        <is>
          <t>Finansal Göstergeler (TL &amp; USD)</t>
        </is>
      </c>
      <c r="B4" s="3" t="inlineStr">
        <is>
          <t>Metodoloji / Referans</t>
        </is>
      </c>
      <c r="C4" s="3" t="inlineStr">
        <is>
          <t>2026 (Yıl 1)</t>
        </is>
      </c>
      <c r="D4" s="3" t="inlineStr">
        <is>
          <t>2027 (Yıl 2)</t>
        </is>
      </c>
      <c r="E4" s="3" t="inlineStr">
        <is>
          <t>2028 (Yıl 3)</t>
        </is>
      </c>
      <c r="F4" s="3" t="inlineStr">
        <is>
          <t>2029 (Yıl 4)</t>
        </is>
      </c>
      <c r="G4" s="3" t="inlineStr">
        <is>
          <t>2030 (Yıl 5)</t>
        </is>
      </c>
    </row>
    <row r="5">
      <c r="A5" s="27" t="inlineStr">
        <is>
          <t>OPERASYONEL METRİKLER</t>
        </is>
      </c>
      <c r="B5" s="13" t="n"/>
      <c r="C5" s="13" t="n"/>
      <c r="D5" s="13" t="n"/>
      <c r="E5" s="13" t="n"/>
      <c r="F5" s="13" t="n"/>
      <c r="G5" s="14" t="n"/>
    </row>
    <row r="6">
      <c r="A6" s="29" t="inlineStr">
        <is>
          <t>Başarılı Satış İşlemi Adedi (Konut)</t>
        </is>
      </c>
      <c r="B6" s="30" t="inlineStr">
        <is>
          <t>Dinamik Senaryo Seçici</t>
        </is>
      </c>
      <c r="C6" s="31">
        <f>INDEX(Varsayimlar!$C$25:$G$27, Varsayimlar!$B$4, 1)</f>
        <v/>
      </c>
      <c r="D6" s="31">
        <f>INDEX(Varsayimlar!$C$25:$G$27, Varsayimlar!$B$4, 2)</f>
        <v/>
      </c>
      <c r="E6" s="31">
        <f>INDEX(Varsayimlar!$C$25:$G$27, Varsayimlar!$B$4, 3)</f>
        <v/>
      </c>
      <c r="F6" s="31">
        <f>INDEX(Varsayimlar!$C$25:$G$27, Varsayimlar!$B$4, 4)</f>
        <v/>
      </c>
      <c r="G6" s="31">
        <f>INDEX(Varsayimlar!$C$25:$G$27, Varsayimlar!$B$4, 5)</f>
        <v/>
      </c>
    </row>
    <row r="7">
      <c r="A7" s="29" t="inlineStr">
        <is>
          <t>Ortalama Konut Değeri (TL)</t>
        </is>
      </c>
      <c r="B7" s="30" t="inlineStr">
        <is>
          <t>Varsayımlar B7 | B8 Artış</t>
        </is>
      </c>
      <c r="C7" s="32">
        <f>Varsayimlar!$B$8</f>
        <v/>
      </c>
      <c r="D7" s="32">
        <f>C7*(1+Varsayimlar!$B$9)</f>
        <v/>
      </c>
      <c r="E7" s="32">
        <f>D7*(1+Varsayimlar!$B$9)</f>
        <v/>
      </c>
      <c r="F7" s="32">
        <f>E7*(1+Varsayimlar!$B$9)</f>
        <v/>
      </c>
      <c r="G7" s="32">
        <f>F7*(1+Varsayimlar!$B$9)</f>
        <v/>
      </c>
    </row>
    <row r="8">
      <c r="A8" s="33" t="inlineStr">
        <is>
          <t>Toplam Platform İşlem Hacmi (TL)</t>
        </is>
      </c>
      <c r="B8" s="34" t="inlineStr">
        <is>
          <t>İşlem Adedi * Ortalama Fiyat</t>
        </is>
      </c>
      <c r="C8" s="35">
        <f>C6*C7</f>
        <v/>
      </c>
      <c r="D8" s="35">
        <f>D6*D7</f>
        <v/>
      </c>
      <c r="E8" s="35">
        <f>E6*E7</f>
        <v/>
      </c>
      <c r="F8" s="35">
        <f>F6*F7</f>
        <v/>
      </c>
      <c r="G8" s="35">
        <f>G6*G7</f>
        <v/>
      </c>
    </row>
    <row r="9">
      <c r="A9" s="27" t="inlineStr">
        <is>
          <t>GELİR TABLOSU (TL)</t>
        </is>
      </c>
      <c r="B9" s="13" t="n"/>
      <c r="C9" s="13" t="n"/>
      <c r="D9" s="13" t="n"/>
      <c r="E9" s="13" t="n"/>
      <c r="F9" s="13" t="n"/>
      <c r="G9" s="14" t="n"/>
    </row>
    <row r="10">
      <c r="A10" s="29" t="inlineStr">
        <is>
          <t>Satış Komisyonu Geliri (TL) - %2</t>
        </is>
      </c>
      <c r="B10" s="30" t="inlineStr">
        <is>
          <t>İşlem Hacmi * Komisyon Oranı (%2)</t>
        </is>
      </c>
      <c r="C10" s="32">
        <f>C8*Varsayimlar!$B$10</f>
        <v/>
      </c>
      <c r="D10" s="32">
        <f>D8*Varsayimlar!$B$10</f>
        <v/>
      </c>
      <c r="E10" s="32">
        <f>E8*Varsayimlar!$B$10</f>
        <v/>
      </c>
      <c r="F10" s="32">
        <f>F8*Varsayimlar!$B$10</f>
        <v/>
      </c>
      <c r="G10" s="32">
        <f>G8*Varsayimlar!$B$10</f>
        <v/>
      </c>
    </row>
    <row r="11">
      <c r="A11" s="29" t="inlineStr">
        <is>
          <t>Kiralama Komisyonu Geliri (TL) - (Kira Bedeli vb.)</t>
        </is>
      </c>
      <c r="B11" s="30" t="inlineStr">
        <is>
          <t>Satış Gelirinin %15'i</t>
        </is>
      </c>
      <c r="C11" s="32">
        <f>C10*0.15</f>
        <v/>
      </c>
      <c r="D11" s="32">
        <f>D10*0.15</f>
        <v/>
      </c>
      <c r="E11" s="32">
        <f>E10*0.15</f>
        <v/>
      </c>
      <c r="F11" s="32">
        <f>F10*0.15</f>
        <v/>
      </c>
      <c r="G11" s="32">
        <f>G10*0.15</f>
        <v/>
      </c>
    </row>
    <row r="12">
      <c r="A12" s="29" t="inlineStr">
        <is>
          <t>Premium Hizmetler ve İlan Öne Çıkarma (TL)</t>
        </is>
      </c>
      <c r="B12" s="30" t="inlineStr">
        <is>
          <t>Satış Gelirinin %10'u</t>
        </is>
      </c>
      <c r="C12" s="32">
        <f>C10*0.10</f>
        <v/>
      </c>
      <c r="D12" s="32">
        <f>D10*0.10</f>
        <v/>
      </c>
      <c r="E12" s="32">
        <f>E10*0.10</f>
        <v/>
      </c>
      <c r="F12" s="32">
        <f>F10*0.10</f>
        <v/>
      </c>
      <c r="G12" s="32">
        <f>G10*0.10</f>
        <v/>
      </c>
    </row>
    <row r="13">
      <c r="A13" s="29" t="inlineStr">
        <is>
          <t>Veri Analitiği ve Geliştirici Raporlama Abonelikleri (TL)</t>
        </is>
      </c>
      <c r="B13" s="30" t="inlineStr">
        <is>
          <t>Satış Gelirinin %5'i</t>
        </is>
      </c>
      <c r="C13" s="32">
        <f>C10*0.05</f>
        <v/>
      </c>
      <c r="D13" s="32">
        <f>D10*0.05</f>
        <v/>
      </c>
      <c r="E13" s="32">
        <f>E10*0.05</f>
        <v/>
      </c>
      <c r="F13" s="32">
        <f>F10*0.05</f>
        <v/>
      </c>
      <c r="G13" s="32">
        <f>G10*0.05</f>
        <v/>
      </c>
    </row>
    <row r="14">
      <c r="A14" s="33" t="inlineStr">
        <is>
          <t>Toplam Brüt Gelir (TL)</t>
        </is>
      </c>
      <c r="B14" s="34" t="inlineStr">
        <is>
          <t>Gelir Kalemleri Toplamı</t>
        </is>
      </c>
      <c r="C14" s="35">
        <f>SUM(C10:C13)</f>
        <v/>
      </c>
      <c r="D14" s="35">
        <f>SUM(D10:D13)</f>
        <v/>
      </c>
      <c r="E14" s="35">
        <f>SUM(E10:E13)</f>
        <v/>
      </c>
      <c r="F14" s="35">
        <f>SUM(F10:F13)</f>
        <v/>
      </c>
      <c r="G14" s="35">
        <f>SUM(G10:G13)</f>
        <v/>
      </c>
    </row>
    <row r="15">
      <c r="A15" s="33" t="inlineStr">
        <is>
          <t>Toplam Brüt Gelir (USD)</t>
        </is>
      </c>
      <c r="B15" s="34" t="inlineStr">
        <is>
          <t>TL Ciro / Dolar Kuru</t>
        </is>
      </c>
      <c r="C15" s="36">
        <f>C14/Varsayimlar!$B$7</f>
        <v/>
      </c>
      <c r="D15" s="36">
        <f>D14/Varsayimlar!$B$7</f>
        <v/>
      </c>
      <c r="E15" s="36">
        <f>E14/Varsayimlar!$B$7</f>
        <v/>
      </c>
      <c r="F15" s="36">
        <f>F14/Varsayimlar!$B$7</f>
        <v/>
      </c>
      <c r="G15" s="36">
        <f>G14/Varsayimlar!$B$7</f>
        <v/>
      </c>
    </row>
    <row r="16">
      <c r="A16" s="27" t="inlineStr">
        <is>
          <t>FAALİYET GİDERLERİ (TL)</t>
        </is>
      </c>
      <c r="B16" s="13" t="n"/>
      <c r="C16" s="13" t="n"/>
      <c r="D16" s="13" t="n"/>
      <c r="E16" s="13" t="n"/>
      <c r="F16" s="13" t="n"/>
      <c r="G16" s="14" t="n"/>
    </row>
    <row r="17">
      <c r="A17" s="29" t="inlineStr">
        <is>
          <t>'Ev Getir Kazan' Satıcı Teşvik Giderleri (TL)</t>
        </is>
      </c>
      <c r="B17" s="30" t="inlineStr">
        <is>
          <t>Satış Komisyonu * %15 (Teşvik)</t>
        </is>
      </c>
      <c r="C17" s="32">
        <f>C10*0.15</f>
        <v/>
      </c>
      <c r="D17" s="32">
        <f>D10*0.15</f>
        <v/>
      </c>
      <c r="E17" s="32">
        <f>E10*0.15</f>
        <v/>
      </c>
      <c r="F17" s="32">
        <f>F10*0.15</f>
        <v/>
      </c>
      <c r="G17" s="32">
        <f>G10*0.15</f>
        <v/>
      </c>
    </row>
    <row r="18">
      <c r="A18" s="29" t="inlineStr">
        <is>
          <t>Pazarlama ve Dijital Reklam Giderleri (TL)</t>
        </is>
      </c>
      <c r="B18" s="30" t="inlineStr">
        <is>
          <t>Y1 Yatırımın %60'ı | Sonra %15 Ciro</t>
        </is>
      </c>
      <c r="C18" s="32">
        <f>Varsayimlar!$B$13*Varsayimlar!$B$17*Varsayimlar!$B$7</f>
        <v/>
      </c>
      <c r="D18" s="32">
        <f>D14*0.15</f>
        <v/>
      </c>
      <c r="E18" s="32">
        <f>E14*0.15</f>
        <v/>
      </c>
      <c r="F18" s="32">
        <f>F14*0.15</f>
        <v/>
      </c>
      <c r="G18" s="32">
        <f>G14*0.15</f>
        <v/>
      </c>
    </row>
    <row r="19">
      <c r="A19" s="29" t="inlineStr">
        <is>
          <t>Yazılım Bakım ve Sunucu Giderleri (TL)</t>
        </is>
      </c>
      <c r="B19" s="30" t="inlineStr">
        <is>
          <t>Y1 %10 Fon | Sonra %15 Artış</t>
        </is>
      </c>
      <c r="C19" s="32">
        <f>Varsayimlar!$B$13*Varsayimlar!$B$19*Varsayimlar!$B$7</f>
        <v/>
      </c>
      <c r="D19" s="32">
        <f>C19*1.15</f>
        <v/>
      </c>
      <c r="E19" s="32">
        <f>D19*1.15</f>
        <v/>
      </c>
      <c r="F19" s="32">
        <f>E19*1.15</f>
        <v/>
      </c>
      <c r="G19" s="32">
        <f>F19*1.15</f>
        <v/>
      </c>
    </row>
    <row r="20">
      <c r="A20" s="29" t="inlineStr">
        <is>
          <t>Ekipman Amortismanı ve Çekim Giderleri (TL)</t>
        </is>
      </c>
      <c r="B20" s="30" t="inlineStr">
        <is>
          <t>Y1 %20 Fon | Sonra %10 Artış</t>
        </is>
      </c>
      <c r="C20" s="32">
        <f>Varsayimlar!$B$13*Varsayimlar!$B$18*Varsayimlar!$B$7</f>
        <v/>
      </c>
      <c r="D20" s="32">
        <f>C20*1.10</f>
        <v/>
      </c>
      <c r="E20" s="32">
        <f>D20*1.10</f>
        <v/>
      </c>
      <c r="F20" s="32">
        <f>E20*1.10</f>
        <v/>
      </c>
      <c r="G20" s="32">
        <f>F20*1.10</f>
        <v/>
      </c>
    </row>
    <row r="21">
      <c r="A21" s="29" t="inlineStr">
        <is>
          <t>Personel ve Ekip Maaş Giderleri (TL)</t>
        </is>
      </c>
      <c r="B21" s="30" t="inlineStr">
        <is>
          <t>Y1: 5 Pers. | Y5: 25 Pers. Planı</t>
        </is>
      </c>
      <c r="C21" s="32" t="n">
        <v>2100000</v>
      </c>
      <c r="D21" s="32" t="n">
        <v>3840000</v>
      </c>
      <c r="E21" s="32" t="n">
        <v>6912000</v>
      </c>
      <c r="F21" s="32" t="n">
        <v>12528000</v>
      </c>
      <c r="G21" s="32" t="n">
        <v>21000000</v>
      </c>
    </row>
    <row r="22">
      <c r="A22" s="29" t="inlineStr">
        <is>
          <t>Genel Yönetim ve Kurumsal Giderler (TL)</t>
        </is>
      </c>
      <c r="B22" s="30" t="inlineStr">
        <is>
          <t>Y1 %10 Fon | Sonra %10 Artış</t>
        </is>
      </c>
      <c r="C22" s="32">
        <f>Varsayimlar!$B$13*Varsayimlar!$B$20*Varsayimlar!$B$7</f>
        <v/>
      </c>
      <c r="D22" s="32">
        <f>C22*1.10</f>
        <v/>
      </c>
      <c r="E22" s="32">
        <f>D22*1.10</f>
        <v/>
      </c>
      <c r="F22" s="32">
        <f>E22*1.10</f>
        <v/>
      </c>
      <c r="G22" s="32">
        <f>F22*1.10</f>
        <v/>
      </c>
    </row>
    <row r="23">
      <c r="A23" s="33" t="inlineStr">
        <is>
          <t>Toplam Faaliyet Giderleri (OPEX) (TL)</t>
        </is>
      </c>
      <c r="B23" s="34" t="inlineStr">
        <is>
          <t>Faaliyet Giderleri Toplamı</t>
        </is>
      </c>
      <c r="C23" s="35">
        <f>SUM(C17:C22)</f>
        <v/>
      </c>
      <c r="D23" s="35">
        <f>SUM(D17:D22)</f>
        <v/>
      </c>
      <c r="E23" s="35">
        <f>SUM(E17:E22)</f>
        <v/>
      </c>
      <c r="F23" s="35">
        <f>SUM(F17:F22)</f>
        <v/>
      </c>
      <c r="G23" s="35">
        <f>SUM(G17:G22)</f>
        <v/>
      </c>
    </row>
    <row r="24">
      <c r="A24" s="33" t="inlineStr">
        <is>
          <t>Toplam Faaliyet Giderleri (OPEX) (USD)</t>
        </is>
      </c>
      <c r="B24" s="34" t="inlineStr">
        <is>
          <t>TL OPEX / Dolar Kuru</t>
        </is>
      </c>
      <c r="C24" s="36">
        <f>C23/Varsayimlar!$B$7</f>
        <v/>
      </c>
      <c r="D24" s="36">
        <f>D23/Varsayimlar!$B$7</f>
        <v/>
      </c>
      <c r="E24" s="36">
        <f>E23/Varsayimlar!$B$7</f>
        <v/>
      </c>
      <c r="F24" s="36">
        <f>F23/Varsayimlar!$B$7</f>
        <v/>
      </c>
      <c r="G24" s="36">
        <f>G23/Varsayimlar!$B$7</f>
        <v/>
      </c>
    </row>
    <row r="25">
      <c r="A25" s="27" t="inlineStr">
        <is>
          <t>FİNANSAL ÖZET &amp; KÂRLILIK</t>
        </is>
      </c>
      <c r="B25" s="13" t="n"/>
      <c r="C25" s="13" t="n"/>
      <c r="D25" s="13" t="n"/>
      <c r="E25" s="13" t="n"/>
      <c r="F25" s="13" t="n"/>
      <c r="G25" s="14" t="n"/>
    </row>
    <row r="26">
      <c r="A26" s="33" t="inlineStr">
        <is>
          <t>FAVÖK (EBITDA) (TL)</t>
        </is>
      </c>
      <c r="B26" s="34" t="inlineStr">
        <is>
          <t>Ciro (TL) - OPEX (TL)</t>
        </is>
      </c>
      <c r="C26" s="35">
        <f>C14-C23</f>
        <v/>
      </c>
      <c r="D26" s="35">
        <f>D14-D23</f>
        <v/>
      </c>
      <c r="E26" s="35">
        <f>E14-E23</f>
        <v/>
      </c>
      <c r="F26" s="35">
        <f>F14-F23</f>
        <v/>
      </c>
      <c r="G26" s="35">
        <f>G14-G23</f>
        <v/>
      </c>
    </row>
    <row r="27">
      <c r="A27" s="33" t="inlineStr">
        <is>
          <t>FAVÖK (EBITDA) (USD)</t>
        </is>
      </c>
      <c r="B27" s="34" t="inlineStr">
        <is>
          <t>TL EBITDA / Dolar Kuru</t>
        </is>
      </c>
      <c r="C27" s="36">
        <f>C26/Varsayimlar!$B$7</f>
        <v/>
      </c>
      <c r="D27" s="36">
        <f>D26/Varsayimlar!$B$7</f>
        <v/>
      </c>
      <c r="E27" s="36">
        <f>E26/Varsayimlar!$B$7</f>
        <v/>
      </c>
      <c r="F27" s="36">
        <f>F26/Varsayimlar!$B$7</f>
        <v/>
      </c>
      <c r="G27" s="36">
        <f>G26/Varsayimlar!$B$7</f>
        <v/>
      </c>
    </row>
    <row r="28">
      <c r="A28" s="33" t="inlineStr">
        <is>
          <t>FAVÖK Marjı (%)</t>
        </is>
      </c>
      <c r="B28" s="34" t="inlineStr">
        <is>
          <t>EBITDA / Toplam Gelir</t>
        </is>
      </c>
      <c r="C28" s="37">
        <f>IFERROR(C26/C14, 0)</f>
        <v/>
      </c>
      <c r="D28" s="37">
        <f>IFERROR(D26/D14, 0)</f>
        <v/>
      </c>
      <c r="E28" s="37">
        <f>IFERROR(E26/E14, 0)</f>
        <v/>
      </c>
      <c r="F28" s="37">
        <f>IFERROR(F26/F14, 0)</f>
        <v/>
      </c>
      <c r="G28" s="37">
        <f>IFERROR(G26/G14, 0)</f>
        <v/>
      </c>
    </row>
    <row r="29">
      <c r="A29" s="29" t="inlineStr">
        <is>
          <t>Amortisman Gideri (TL)</t>
        </is>
      </c>
      <c r="B29" s="30" t="inlineStr">
        <is>
          <t>Kamera &amp; Ekipman / 5 Yıl</t>
        </is>
      </c>
      <c r="C29" s="32">
        <f>C20/5</f>
        <v/>
      </c>
      <c r="D29" s="32">
        <f>D20/5</f>
        <v/>
      </c>
      <c r="E29" s="32">
        <f>E20/5</f>
        <v/>
      </c>
      <c r="F29" s="32">
        <f>F20/5</f>
        <v/>
      </c>
      <c r="G29" s="32">
        <f>G20/5</f>
        <v/>
      </c>
    </row>
    <row r="30">
      <c r="A30" s="29" t="inlineStr">
        <is>
          <t>Kurumlar Vergisi (%20) (TL)</t>
        </is>
      </c>
      <c r="B30" s="30" t="inlineStr">
        <is>
          <t>Pozitif Kâr üzerinden %20 Vergi</t>
        </is>
      </c>
      <c r="C30" s="32">
        <f>IF((C26-C29)&gt;0, (C26-C29)*0.20, 0)</f>
        <v/>
      </c>
      <c r="D30" s="32">
        <f>IF((D26-D29)&gt;0, (D26-D29)*0.20, 0)</f>
        <v/>
      </c>
      <c r="E30" s="32">
        <f>IF((E26-E29)&gt;0, (E26-E29)*0.20, 0)</f>
        <v/>
      </c>
      <c r="F30" s="32">
        <f>IF((F26-F29)&gt;0, (F26-F29)*0.20, 0)</f>
        <v/>
      </c>
      <c r="G30" s="32">
        <f>IF((G26-G29)&gt;0, (G26-G29)*0.20, 0)</f>
        <v/>
      </c>
    </row>
    <row r="31">
      <c r="A31" s="33" t="inlineStr">
        <is>
          <t>Net Dönem Kârı (TL)</t>
        </is>
      </c>
      <c r="B31" s="34" t="inlineStr">
        <is>
          <t>EBITDA - Amortisman - Vergi</t>
        </is>
      </c>
      <c r="C31" s="35">
        <f>C26-C29-C30</f>
        <v/>
      </c>
      <c r="D31" s="35">
        <f>D26-D29-D30</f>
        <v/>
      </c>
      <c r="E31" s="35">
        <f>E26-E29-E30</f>
        <v/>
      </c>
      <c r="F31" s="35">
        <f>F26-F29-F30</f>
        <v/>
      </c>
      <c r="G31" s="35">
        <f>G26-G29-G30</f>
        <v/>
      </c>
    </row>
    <row r="32">
      <c r="A32" s="33" t="inlineStr">
        <is>
          <t>Net Dönem Kârı (USD)</t>
        </is>
      </c>
      <c r="B32" s="34" t="inlineStr">
        <is>
          <t>TL Net Kâr / Dolar Kuru</t>
        </is>
      </c>
      <c r="C32" s="36">
        <f>C31/Varsayimlar!$B$7</f>
        <v/>
      </c>
      <c r="D32" s="36">
        <f>D31/Varsayimlar!$B$7</f>
        <v/>
      </c>
      <c r="E32" s="36">
        <f>E31/Varsayimlar!$B$7</f>
        <v/>
      </c>
      <c r="F32" s="36">
        <f>F31/Varsayimlar!$B$7</f>
        <v/>
      </c>
      <c r="G32" s="36">
        <f>G31/Varsayimlar!$B$7</f>
        <v/>
      </c>
    </row>
    <row r="33">
      <c r="A33" s="38" t="inlineStr">
        <is>
          <t>Net Kâr Marjı (%)</t>
        </is>
      </c>
      <c r="B33" s="30" t="inlineStr">
        <is>
          <t>Net Kâr / Toplam Gelir</t>
        </is>
      </c>
      <c r="C33" s="39">
        <f>IFERROR(C31/C14, 0)</f>
        <v/>
      </c>
      <c r="D33" s="39">
        <f>IFERROR(D31/D14, 0)</f>
        <v/>
      </c>
      <c r="E33" s="39">
        <f>IFERROR(E31/E14, 0)</f>
        <v/>
      </c>
      <c r="F33" s="39">
        <f>IFERROR(F31/F14, 0)</f>
        <v/>
      </c>
      <c r="G33" s="39">
        <f>IFERROR(G31/G14, 0)</f>
        <v/>
      </c>
    </row>
  </sheetData>
  <mergeCells count="4">
    <mergeCell ref="A16:G16"/>
    <mergeCell ref="A25:G25"/>
    <mergeCell ref="A5:G5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/>
    <row r="2">
      <c r="A2" s="1" t="inlineStr">
        <is>
          <t>MülkVera - Şirket Değerlemesi ve Yatırımcı Geri Dönüşü</t>
        </is>
      </c>
    </row>
    <row r="3"/>
    <row r="4">
      <c r="A4" s="20" t="inlineStr">
        <is>
          <t>5. YIL SONU ŞİRKET DEĞERLEMESİ</t>
        </is>
      </c>
    </row>
    <row r="5">
      <c r="A5" s="21" t="inlineStr">
        <is>
          <t>EBITDA Çarpanı (Sektör Standardı)</t>
        </is>
      </c>
      <c r="B5" s="22" t="n">
        <v>10</v>
      </c>
      <c r="C5" s="2" t="inlineStr">
        <is>
          <t>&lt;- Yatırımcı için varsayılan çarpan</t>
        </is>
      </c>
    </row>
    <row r="6">
      <c r="A6" s="21" t="inlineStr">
        <is>
          <t>5. Yıl Sonu EBITDA (USD)</t>
        </is>
      </c>
      <c r="B6" s="40">
        <f>Projeksiyonlar!G27</f>
        <v/>
      </c>
    </row>
    <row r="7">
      <c r="A7" s="10" t="inlineStr">
        <is>
          <t>Girişim Değeri (USD) (Enterprise Value)</t>
        </is>
      </c>
      <c r="B7" s="41">
        <f>B5*B6</f>
        <v/>
      </c>
    </row>
    <row r="8"/>
    <row r="9"/>
    <row r="10">
      <c r="A10" s="20" t="inlineStr">
        <is>
          <t>YATIRIMCI GERİ DÖNÜŞÜ (250.000 $ YATIRIM İÇİN)</t>
        </is>
      </c>
    </row>
    <row r="11">
      <c r="A11" s="21" t="inlineStr">
        <is>
          <t>Talep Edilen Yatırım Tutarı ($)</t>
        </is>
      </c>
      <c r="B11" s="40">
        <f>Varsayimlar!$B$13</f>
        <v/>
      </c>
    </row>
    <row r="12">
      <c r="A12" s="21" t="inlineStr">
        <is>
          <t>Teklif Edilen Hisse (%)</t>
        </is>
      </c>
      <c r="B12" s="39">
        <f>Varsayimlar!$B$14</f>
        <v/>
      </c>
    </row>
    <row r="13">
      <c r="A13" s="10" t="inlineStr">
        <is>
          <t>5. Yıl Sonu Yatırımcı Hisse Değeri (USD)</t>
        </is>
      </c>
      <c r="B13" s="41">
        <f>B7*B12</f>
        <v/>
      </c>
    </row>
    <row r="14">
      <c r="A14" s="10" t="inlineStr">
        <is>
          <t>Yatırım Çarpanı (MOIC)</t>
        </is>
      </c>
      <c r="B14" s="42">
        <f>B13/B11</f>
        <v/>
      </c>
    </row>
    <row r="15">
      <c r="A15" s="10" t="inlineStr">
        <is>
          <t>İç Verim Oranı (IRR)</t>
        </is>
      </c>
      <c r="B15" s="43">
        <f>(B14)^(1/5)-1</f>
        <v/>
      </c>
    </row>
    <row r="16"/>
    <row r="17"/>
    <row r="18">
      <c r="A18" s="20" t="inlineStr">
        <is>
          <t>YATIRIM GERİ ÖDEME (PAYBACK) VE NAKİT AKIŞ ANALİZİ</t>
        </is>
      </c>
    </row>
    <row r="19">
      <c r="A19" s="3" t="inlineStr">
        <is>
          <t>Metrik (USD)</t>
        </is>
      </c>
      <c r="B19" s="3" t="inlineStr">
        <is>
          <t>Yıl 0 (Bugün)</t>
        </is>
      </c>
      <c r="C19" s="3" t="inlineStr">
        <is>
          <t>Yıl 1 (2026)</t>
        </is>
      </c>
      <c r="D19" s="3" t="inlineStr">
        <is>
          <t>Yıl 2 (2027)</t>
        </is>
      </c>
      <c r="E19" s="3" t="inlineStr">
        <is>
          <t>Yıl 3 (2028)</t>
        </is>
      </c>
      <c r="F19" s="3" t="inlineStr">
        <is>
          <t>Yıl 4 (2029)</t>
        </is>
      </c>
      <c r="G19" s="3" t="inlineStr">
        <is>
          <t>Yıl 5 (2030)</t>
        </is>
      </c>
    </row>
    <row r="20">
      <c r="A20" s="21" t="inlineStr">
        <is>
          <t>Yatırımcı Nakit Akışı (Girdi/Kâr Payı)</t>
        </is>
      </c>
      <c r="B20" s="44">
        <f>-B11</f>
        <v/>
      </c>
      <c r="C20" s="45">
        <f>Projeksiyonlar!C32*$B$12</f>
        <v/>
      </c>
      <c r="D20" s="45">
        <f>Projeksiyonlar!D32*$B$12</f>
        <v/>
      </c>
      <c r="E20" s="45">
        <f>Projeksiyonlar!E32*$B$12</f>
        <v/>
      </c>
      <c r="F20" s="45">
        <f>Projeksiyonlar!F32*$B$12</f>
        <v/>
      </c>
      <c r="G20" s="45">
        <f>Projeksiyonlar!G32*$B$12</f>
        <v/>
      </c>
    </row>
    <row r="21">
      <c r="A21" s="10" t="inlineStr">
        <is>
          <t>Kümülatif Nakit Akışı</t>
        </is>
      </c>
      <c r="B21" s="44">
        <f>B20</f>
        <v/>
      </c>
      <c r="C21" s="44">
        <f>B21+C20</f>
        <v/>
      </c>
      <c r="D21" s="44">
        <f>C21+D20</f>
        <v/>
      </c>
      <c r="E21" s="44">
        <f>D21+E20</f>
        <v/>
      </c>
      <c r="F21" s="44">
        <f>E21+F20</f>
        <v/>
      </c>
      <c r="G21" s="44">
        <f>F21+G20</f>
        <v/>
      </c>
    </row>
    <row r="22">
      <c r="A22" s="21" t="inlineStr">
        <is>
          <t>Yatırım Geri Dönüş Durumu</t>
        </is>
      </c>
      <c r="B22" s="30" t="inlineStr">
        <is>
          <t>Yatırım Yapıldı</t>
        </is>
      </c>
      <c r="C22" s="46">
        <f>IF(AND(B21&lt;0, C21&gt;=0), "Geri Ödeme Sağlandı!", IF(C21&gt;=0, "Kârlı Dönem", "Devam Ediyor"))</f>
        <v/>
      </c>
      <c r="D22" s="46">
        <f>IF(AND(C21&lt;0, D21&gt;=0), "Geri Ödeme Sağlandı!", IF(D21&gt;=0, "Kârlı Dönem", "Devam Ediyor"))</f>
        <v/>
      </c>
      <c r="E22" s="46">
        <f>IF(AND(D21&lt;0, E21&gt;=0), "Geri Ödeme Sağlandı!", IF(E21&gt;=0, "Kârlı Dönem", "Devam Ediyor"))</f>
        <v/>
      </c>
      <c r="F22" s="46">
        <f>IF(AND(E21&lt;0, F21&gt;=0), "Geri Ödeme Sağlandı!", IF(F21&gt;=0, "Kârlı Dönem", "Devam Ediyor"))</f>
        <v/>
      </c>
      <c r="G22" s="46">
        <f>IF(AND(F21&lt;0, G21&gt;=0), "Geri Ödeme Sağlandı!", IF(G21&gt;=0, "Kârlı Dönem", "Devam Ediyor"))</f>
        <v/>
      </c>
    </row>
  </sheetData>
  <mergeCells count="3">
    <mergeCell ref="A10:C10"/>
    <mergeCell ref="A4:C4"/>
    <mergeCell ref="A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8" max="8"/>
    <col width="15" customWidth="1" min="9" max="9"/>
  </cols>
  <sheetData>
    <row r="1"/>
    <row r="2">
      <c r="A2" s="1" t="inlineStr">
        <is>
          <t>MülkVera - Projeksiyon Grafikleri ve Görsel Veri Paneli</t>
        </is>
      </c>
    </row>
    <row r="3"/>
    <row r="4">
      <c r="A4" s="20" t="inlineStr">
        <is>
          <t>GRAFİK VERİ KAYNAKLARI (Dinmikte Bağlıdır)</t>
        </is>
      </c>
      <c r="H4" s="20" t="inlineStr">
        <is>
          <t>YATIRIM FONU KULLANIM KIRILIMI</t>
        </is>
      </c>
    </row>
    <row r="5">
      <c r="A5" s="3" t="inlineStr">
        <is>
          <t>Metrik (USD)</t>
        </is>
      </c>
      <c r="B5" s="3" t="inlineStr">
        <is>
          <t>2026</t>
        </is>
      </c>
      <c r="C5" s="3" t="inlineStr">
        <is>
          <t>2027</t>
        </is>
      </c>
      <c r="D5" s="3" t="inlineStr">
        <is>
          <t>2028</t>
        </is>
      </c>
      <c r="E5" s="3" t="inlineStr">
        <is>
          <t>2029</t>
        </is>
      </c>
      <c r="F5" s="3" t="inlineStr">
        <is>
          <t>2030</t>
        </is>
      </c>
      <c r="H5" s="3" t="inlineStr">
        <is>
          <t>Kullanım Alanı</t>
        </is>
      </c>
      <c r="I5" s="3" t="inlineStr">
        <is>
          <t>Yüzde (%)</t>
        </is>
      </c>
    </row>
    <row r="6">
      <c r="A6" s="47" t="inlineStr">
        <is>
          <t>Toplam Brüt Gelir (USD)</t>
        </is>
      </c>
      <c r="B6" s="45">
        <f>Projeksiyonlar!C15</f>
        <v/>
      </c>
      <c r="C6" s="45">
        <f>Projeksiyonlar!D15</f>
        <v/>
      </c>
      <c r="D6" s="45">
        <f>Projeksiyonlar!E15</f>
        <v/>
      </c>
      <c r="E6" s="45">
        <f>Projeksiyonlar!F15</f>
        <v/>
      </c>
      <c r="F6" s="45">
        <f>Projeksiyonlar!G15</f>
        <v/>
      </c>
      <c r="H6" s="12" t="inlineStr">
        <is>
          <t>Pazarlama &amp; Reklam</t>
        </is>
      </c>
      <c r="I6" s="48">
        <f>Varsayimlar!$B$17</f>
        <v/>
      </c>
    </row>
    <row r="7">
      <c r="A7" s="47" t="inlineStr">
        <is>
          <t>FAVÖK (EBITDA) (USD)</t>
        </is>
      </c>
      <c r="B7" s="45">
        <f>Projeksiyonlar!C27</f>
        <v/>
      </c>
      <c r="C7" s="45">
        <f>Projeksiyonlar!D27</f>
        <v/>
      </c>
      <c r="D7" s="45">
        <f>Projeksiyonlar!E27</f>
        <v/>
      </c>
      <c r="E7" s="45">
        <f>Projeksiyonlar!F27</f>
        <v/>
      </c>
      <c r="F7" s="45">
        <f>Projeksiyonlar!G27</f>
        <v/>
      </c>
      <c r="H7" s="12" t="inlineStr">
        <is>
          <t>3D Ekipman &amp; Çekim</t>
        </is>
      </c>
      <c r="I7" s="48">
        <f>Varsayimlar!$B$18</f>
        <v/>
      </c>
    </row>
    <row r="8">
      <c r="A8" s="47" t="inlineStr">
        <is>
          <t>Net Dönem Kârı (USD)</t>
        </is>
      </c>
      <c r="B8" s="45">
        <f>Projeksiyonlar!C32</f>
        <v/>
      </c>
      <c r="C8" s="45">
        <f>Projeksiyonlar!D32</f>
        <v/>
      </c>
      <c r="D8" s="45">
        <f>Projeksiyonlar!E32</f>
        <v/>
      </c>
      <c r="E8" s="45">
        <f>Projeksiyonlar!F32</f>
        <v/>
      </c>
      <c r="F8" s="45">
        <f>Projeksiyonlar!G32</f>
        <v/>
      </c>
      <c r="H8" s="12" t="inlineStr">
        <is>
          <t>Yazılım &amp; Altyapı</t>
        </is>
      </c>
      <c r="I8" s="48">
        <f>Varsayimlar!$B$19</f>
        <v/>
      </c>
    </row>
    <row r="9">
      <c r="H9" s="12" t="inlineStr">
        <is>
          <t>Operasyonel &amp; Kurumsal</t>
        </is>
      </c>
      <c r="I9" s="48">
        <f>Varsayimlar!$B$20</f>
        <v/>
      </c>
    </row>
  </sheetData>
  <mergeCells count="2">
    <mergeCell ref="H4:I4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22" customWidth="1" min="4" max="4"/>
    <col width="18" customWidth="1" min="5" max="5"/>
  </cols>
  <sheetData>
    <row r="1"/>
    <row r="2">
      <c r="A2" s="1" t="inlineStr">
        <is>
          <t>MülkVera - Finansal Model Güvenilirlik Testleri</t>
        </is>
      </c>
    </row>
    <row r="3"/>
    <row r="4">
      <c r="A4" s="3" t="inlineStr">
        <is>
          <t>No</t>
        </is>
      </c>
      <c r="B4" s="3" t="inlineStr">
        <is>
          <t>Güvenilirlik Test Adı</t>
        </is>
      </c>
      <c r="C4" s="3" t="inlineStr">
        <is>
          <t>Hedeflenen Değer</t>
        </is>
      </c>
      <c r="D4" s="3" t="inlineStr">
        <is>
          <t>Gerçekleşen / Fark</t>
        </is>
      </c>
      <c r="E4" s="3" t="inlineStr">
        <is>
          <t>Test Sonucu</t>
        </is>
      </c>
    </row>
    <row r="5">
      <c r="A5" s="4" t="inlineStr">
        <is>
          <t>1</t>
        </is>
      </c>
      <c r="B5" s="38" t="inlineStr">
        <is>
          <t>Ciro Tutarlılık Testi (TL Brüt Gelir vs Toplam Parçalar)</t>
        </is>
      </c>
      <c r="C5" s="49" t="n">
        <v>0</v>
      </c>
      <c r="D5" s="50">
        <f>Projeksiyonlar!C14-SUM(Projeksiyonlar!C10:Projeksiyonlar!C13)</f>
        <v/>
      </c>
      <c r="E5" s="15">
        <f>IF(ABS(D5)&lt;0.01, "BAŞARILI ✅", "HATA ❌")</f>
        <v/>
      </c>
    </row>
    <row r="6">
      <c r="A6" s="4" t="inlineStr">
        <is>
          <t>2</t>
        </is>
      </c>
      <c r="B6" s="38" t="inlineStr">
        <is>
          <t>Döviz Çevrim Kontrolü (TL Ciro / Kur - USD Ciro)</t>
        </is>
      </c>
      <c r="C6" s="49" t="n">
        <v>0</v>
      </c>
      <c r="D6" s="50">
        <f>Projeksiyonlar!C15-(Projeksiyonlar!C14/Varsayimlar!$B$7)</f>
        <v/>
      </c>
      <c r="E6" s="15">
        <f>IF(ABS(D6)&lt;0.01, "BAŞARILI ✅", "HATA ❌")</f>
        <v/>
      </c>
    </row>
    <row r="7">
      <c r="A7" s="4" t="inlineStr">
        <is>
          <t>3</t>
        </is>
      </c>
      <c r="B7" s="38" t="inlineStr">
        <is>
          <t>EBITDA Matematiksel Tutarlılığı (TL Ciro - TL OPEX - EBITDA)</t>
        </is>
      </c>
      <c r="C7" s="49" t="n">
        <v>0</v>
      </c>
      <c r="D7" s="50">
        <f>Projeksiyonlar!C26-(Projeksiyonlar!C14-Projeksiyonlar!C23)</f>
        <v/>
      </c>
      <c r="E7" s="15">
        <f>IF(ABS(D7)&lt;0.01, "BAŞARILI ✅", "HATA ❌")</f>
        <v/>
      </c>
    </row>
    <row r="8">
      <c r="A8" s="4" t="inlineStr">
        <is>
          <t>4</t>
        </is>
      </c>
      <c r="B8" s="38" t="inlineStr">
        <is>
          <t>Net Kâr Doğruluk Kontrolü (EBITDA - Amortisman - Vergi - Net Kâr)</t>
        </is>
      </c>
      <c r="C8" s="49" t="n">
        <v>0</v>
      </c>
      <c r="D8" s="50">
        <f>Projeksiyonlar!C31-(Projeksiyonlar!C26-Projeksiyonlar!C29-Projeksiyonlar!C30)</f>
        <v/>
      </c>
      <c r="E8" s="15">
        <f>IF(ABS(D8)&lt;0.01, "BAŞARILI ✅", "HATA ❌")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2026-08-12T01:02:16Z</dcterms:created>
  <dcterms:modified xmlns:dcterms="http://purl.org/dc/terms/" xmlns:xsi="http://www.w3.org/2001/XMLSchema-instance" xsi:type="dcterms:W3CDTF">2026-08-13T03:42:26Z</dcterms:modified>
</cp:coreProperties>
</file>